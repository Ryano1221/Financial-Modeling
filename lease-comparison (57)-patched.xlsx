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ns0:workbook xmlns:ns0="http://schemas.openxmlformats.org/spreadsheetml/2006/main" xmlns:ns1="http://schemas.openxmlformats.org/markup-compatibility/2006" xmlns:ns2="http://schemas.openxmlformats.org/officeDocument/2006/relationships" ns1:Ignorable="x15">
  <ns0:fileVersion appName="xl" lastEdited="5" lowestEdited="5" rupBuild="9303"/>
  <ns0:workbookPr defaultThemeVersion="164011" filterPrivacy="1"/>
  <ns0:sheets>
    <ns0:sheet sheetId="1" name="Cover" state="visible" ns2:id="rId4"/>
    <ns0:sheet sheetId="2" name="Summary Comparison" state="visible" ns2:id="rId5"/>
    <ns0:sheet sheetId="3" name="Notes" state="visible" ns2:id="rId6"/>
    <ns0:sheet sheetId="4" name="Equalized Metrics" state="visible" ns2:id="rId7"/>
    <ns0:sheet sheetId="5" name="Monthly Gross Cash Flow Matrix" state="visible" ns2:id="rId8"/>
    <ns0:sheet sheetId="6" name="Appendix — The Summit at Lantan" state="visible" ns2:id="rId9"/>
    <ns0:sheet sheetId="7" name="Appendix — Benbrook Suite 200 -" state="visible" ns2:id="rId10"/>
    <ns0:sheet sheetId="8" name="Appendix — Benbrook Suite 2 (2)" state="visible" ns2:id="rId11"/>
  </ns0:sheets>
  <ns0:definedNames>
    <ns0:definedName name="_xlnm.Print_Area" localSheetId="0">'Cover'!$A1:$L20</ns0:definedName>
    <ns0:definedName name="_xlnm.Print_Area" localSheetId="1">'Summary Comparison'!$A1:$D37</ns0:definedName>
    <ns0:definedName name="_xlnm.Print_Titles" localSheetId="1">'Summary Comparison'!$6:$6</ns0:definedName>
    <ns0:definedName name="_xlnm.Print_Area" localSheetId="2">'Notes'!$A1:$H21</ns0:definedName>
    <ns0:definedName name="_xlnm.Print_Titles" localSheetId="2">'Notes'!$6:$6</ns0:definedName>
    <ns0:definedName name="_xlnm.Print_Area" localSheetId="3">'Equalized Metrics'!$A1:$D13</ns0:definedName>
    <ns0:definedName name="_xlnm.Print_Titles" localSheetId="3">'Equalized Metrics'!$8:$8</ns0:definedName>
    <ns0:definedName name="_xlnm.Print_Area" localSheetId="4">'Monthly Gross Cash Flow Matrix'!$A1:$I$117</ns0:definedName>
    <ns0:definedName name="_xlnm.Print_Titles" localSheetId="4">'Monthly Gross Cash Flow Matrix'!$6:$6</ns0:definedName>
    <ns0:definedName name="_xlnm.Print_Area" localSheetId="5">'Appendix — The Summit at Lantan'!$A1:$I101</ns0:definedName>
    <ns0:definedName name="_xlnm.Print_Titles" localSheetId="5">'Appendix — The Summit at Lantan'!$8:$8</ns0:definedName>
    <ns0:definedName name="_xlnm.Print_Area" localSheetId="6">'Appendix — Benbrook Suite 200 -'!$A1:$I75</ns0:definedName>
    <ns0:definedName name="_xlnm.Print_Titles" localSheetId="6">'Appendix — Benbrook Suite 200 -'!$8:$8</ns0:definedName>
    <ns0:definedName name="_xlnm.Print_Area" localSheetId="7">'Appendix — Benbrook Suite 2 (2)'!$A1:$I100</ns0:definedName>
    <ns0:definedName name="_xlnm.Print_Titles" localSheetId="7">'Appendix — Benbrook Suite 2 (2)'!$8:$8</ns0:definedName>
  </ns0:definedNames>
  <ns0:calcPr calcId="171027"/>
</ns0:workbook>
</file>

<file path=xl/sharedStrings.xml><?xml version="1.0" encoding="utf-8"?>
<sst xmlns="http://schemas.openxmlformats.org/spreadsheetml/2006/main" count="719" uniqueCount="222">
  <si>
    <t xml:space="preserve">THE COMMERCIAL REAL ESTATE MODEL
Lease Financial Analysis</t>
  </si>
  <si>
    <t/>
  </si>
  <si>
    <t>PREPARED FOR</t>
  </si>
  <si>
    <t>Client</t>
  </si>
  <si>
    <t>PREPARED BY</t>
  </si>
  <si>
    <t>Ryan Arnold</t>
  </si>
  <si>
    <t>REPORT DATE</t>
  </si>
  <si>
    <t xml:space="preserve">PREPARED FOR
Client</t>
  </si>
  <si>
    <t>02.25.2026</t>
  </si>
  <si>
    <t>SCENARIO COUNT</t>
  </si>
  <si>
    <t>3</t>
  </si>
  <si>
    <t>SCENARIO SNAPSHOT</t>
  </si>
  <si>
    <t>Scenario</t>
  </si>
  <si>
    <t>NPV Cost</t>
  </si>
  <si>
    <t>Total Obligation</t>
  </si>
  <si>
    <t>Equalized Total Obligation</t>
  </si>
  <si>
    <t>Average Price / SF</t>
  </si>
  <si>
    <t>Equalized Price / SF</t>
  </si>
  <si>
    <t>Benbrook Suite 200 - Option A</t>
  </si>
  <si>
    <t>Benbrook Suite 200 - Option B</t>
  </si>
  <si>
    <t>The Summit at Lantana Floor 3,4</t>
  </si>
  <si>
    <t>SUMMARY COMPARISON</t>
  </si>
  <si>
    <t xml:space="preserve">REPORT DATE
02.25.2026</t>
  </si>
  <si>
    <t>Metric</t>
  </si>
  <si>
    <t>PREMISES</t>
  </si>
  <si>
    <t>Document type</t>
  </si>
  <si>
    <t>Counter Proposal</t>
  </si>
  <si>
    <t>Building name</t>
  </si>
  <si>
    <t>The Summit at Lantana</t>
  </si>
  <si>
    <t>Benbrook</t>
  </si>
  <si>
    <t>Suite / floor</t>
  </si>
  <si>
    <t>Floor 3,4</t>
  </si>
  <si>
    <t>200</t>
  </si>
  <si>
    <t>Street address</t>
  </si>
  <si>
    <t>7171 SW Parkway</t>
  </si>
  <si>
    <t>RSF</t>
  </si>
  <si>
    <t>Commencement</t>
  </si>
  <si>
    <t>04.01.2028</t>
  </si>
  <si>
    <t>12.01.2026</t>
  </si>
  <si>
    <t>Expiration</t>
  </si>
  <si>
    <t>08.31.2035</t>
  </si>
  <si>
    <t>02.29.2032</t>
  </si>
  <si>
    <t>03.31.2034</t>
  </si>
  <si>
    <t>RENT STRUCTURE</t>
  </si>
  <si>
    <t>Lease type</t>
  </si>
  <si>
    <t>MODIFIED GROSS</t>
  </si>
  <si>
    <t>NNN</t>
  </si>
  <si>
    <t>Term (months)</t>
  </si>
  <si>
    <t>Rent (nominal)</t>
  </si>
  <si>
    <t>OpEx (nominal)</t>
  </si>
  <si>
    <t>OpEx escalation %</t>
  </si>
  <si>
    <t>Discount rate</t>
  </si>
  <si>
    <t>PARKING</t>
  </si>
  <si>
    <t>Parking cost ($/spot/month, pre-tax)</t>
  </si>
  <si>
    <t>Parking sales tax %</t>
  </si>
  <si>
    <t>Parking cost ($/spot/month, after tax)</t>
  </si>
  <si>
    <t>Parking cost (annual)</t>
  </si>
  <si>
    <t>TI / CAPEX</t>
  </si>
  <si>
    <t>TI budget</t>
  </si>
  <si>
    <t>TI allowance ($/SF)</t>
  </si>
  <si>
    <t>TI out of pocket</t>
  </si>
  <si>
    <t>SUMMARY METRICS</t>
  </si>
  <si>
    <t>Total obligation</t>
  </si>
  <si>
    <t>NPV cost</t>
  </si>
  <si>
    <t>Avg cost/year</t>
  </si>
  <si>
    <t>Avg cost/SF/year</t>
  </si>
  <si>
    <t>Equalized avg cost/RSF/yr</t>
  </si>
  <si>
    <t>Notes are listed in full on the Notes sheet.</t>
  </si>
  <si>
    <t xml:space="preserve">NOTES
Scenario notes and clause highlights</t>
  </si>
  <si>
    <t>Notes</t>
  </si>
  <si>
    <t>Full extracted notes</t>
  </si>
  <si>
    <t>•</t>
  </si>
  <si>
    <t>ROFR / ROFO: ROFR: RIGHT OF FIRST REFUSAL: Upon lease execution, SolarWinds shall have Right of First Refusal (“ROFR”) to lease additional space in the Building whether triggered by a Project occupant or otherwise</t>
  </si>
  <si>
    <t>ROFR / ROFO: Use restrictions: USE: SolarWinds shall use the Premises for any legal purpose permitted by current zoning ordinances. The density limitation in Section 9.2 of SolarWinds’ existing lease shall be revised to :1000. ROFR: RIGHT OF FIRST REFUSAL: Upon lease execution, SolarWinds shall have Right of First Refusal (“ROFR”) to lease additional space in the Building whether triggered by a Project occupant or otherwise</t>
  </si>
  <si>
    <t>Renewal / extension: Renewal option: INTERNAL STAIRWELL: SolarWinds shall have the right to install a mutually agreed upon internal stairwell in the Project. There shall be a restoration provision for the stairwell, the existing building lobby or any other</t>
  </si>
  <si>
    <t>General: Use restrictions: USE: SolarWinds shall use the Premises for any legal purpose permitted by current zoning ordinances. The density limitation in Section 9.2 of SolarWinds’ existing lease shall be revised to :1000. Discount rate 8.00% applied with month-end discounting</t>
  </si>
  <si>
    <t>General: no amortization of TI in monthly view.. Free-rent abatement applied for months 1-5 (base).</t>
  </si>
  <si>
    <t>Operating expenses: upfront month-0 cashflows remain undiscounted.. Base rent and opex as provided</t>
  </si>
  <si>
    <t>Assignment / sublease: Assignment/Sublease: RIGHT:The existing lease shall be amended so that Tenant shall have the continuing right to assign the lease or sublet all or any portion of the premises at any time during the primary term or any extensions thereof, wit. Assignment/Sublease: RIGHT:The existing lease shall be amended so that Tenant shall have the continuing right to assign the lease or sublet all or any portion of the premises at any time during the primary term or any extensions thereof, wit. Discount rate 8.00% applied with month-end discounting</t>
  </si>
  <si>
    <t>General: no amortization of TI in monthly view.. Free-rent abatement applied for months 1-6 (base).</t>
  </si>
  <si>
    <t>General: no amortization of TI in monthly view.. Free-rent abatement applied for months 1-8 (base).</t>
  </si>
  <si>
    <t xml:space="preserve">EQUALIZED METRICS
Shared overlap period calculations</t>
  </si>
  <si>
    <t>Equalized Period: 04.01.2028 - 02.29.2032</t>
  </si>
  <si>
    <t>Equalized avg cost/SF/year</t>
  </si>
  <si>
    <t>Equalized avg cost/month</t>
  </si>
  <si>
    <t>Equalized avg cost/year</t>
  </si>
  <si>
    <t>Equalized total cost</t>
  </si>
  <si>
    <t>Equalized NPV (t0=start)</t>
  </si>
  <si>
    <t xml:space="preserve">MONTHLY GROSS CASH FLOW MATRIX
Side-by-side monthly totals</t>
  </si>
  <si>
    <t>Month #</t>
  </si>
  <si>
    <t>Date</t>
  </si>
  <si>
    <t>__parking_helper_1</t>
  </si>
  <si>
    <t>__parking_helper_2</t>
  </si>
  <si>
    <t>__parking_helper_3</t>
  </si>
  <si>
    <t>PRE LEASE COMMENCEMENT</t>
  </si>
  <si>
    <t>TIB</t>
  </si>
  <si>
    <t>TI budget (Year 0 / PLC)</t>
  </si>
  <si>
    <t>TIA</t>
  </si>
  <si>
    <t>TI allowance credit (Year 0 / PLC)</t>
  </si>
  <si>
    <t>TIN</t>
  </si>
  <si>
    <t>TI net impact (budget - allowance)</t>
  </si>
  <si>
    <t>PC</t>
  </si>
  <si>
    <t>Parking costs (term total)</t>
  </si>
  <si>
    <t>—</t>
  </si>
  <si>
    <t>01.01.2027</t>
  </si>
  <si>
    <t>02.01.2027</t>
  </si>
  <si>
    <t>03.01.2027</t>
  </si>
  <si>
    <t>04.01.2027</t>
  </si>
  <si>
    <t>05.01.2027</t>
  </si>
  <si>
    <t>06.01.2027</t>
  </si>
  <si>
    <t>07.01.2027</t>
  </si>
  <si>
    <t>08.01.2027</t>
  </si>
  <si>
    <t>09.01.2027</t>
  </si>
  <si>
    <t>10.01.2027</t>
  </si>
  <si>
    <t>11.01.2027</t>
  </si>
  <si>
    <t>12.01.2027</t>
  </si>
  <si>
    <t>01.01.2028</t>
  </si>
  <si>
    <t>02.01.2028</t>
  </si>
  <si>
    <t>03.01.2028</t>
  </si>
  <si>
    <t>05.01.2028</t>
  </si>
  <si>
    <t>06.01.2028</t>
  </si>
  <si>
    <t>07.01.2028</t>
  </si>
  <si>
    <t>08.01.2028</t>
  </si>
  <si>
    <t>09.01.2028</t>
  </si>
  <si>
    <t>10.01.2028</t>
  </si>
  <si>
    <t>11.01.2028</t>
  </si>
  <si>
    <t>12.01.2028</t>
  </si>
  <si>
    <t>01.01.2029</t>
  </si>
  <si>
    <t>02.01.2029</t>
  </si>
  <si>
    <t>03.01.2029</t>
  </si>
  <si>
    <t>04.01.2029</t>
  </si>
  <si>
    <t>05.01.2029</t>
  </si>
  <si>
    <t>06.01.2029</t>
  </si>
  <si>
    <t>07.01.2029</t>
  </si>
  <si>
    <t>08.01.2029</t>
  </si>
  <si>
    <t>09.01.2029</t>
  </si>
  <si>
    <t>10.01.2029</t>
  </si>
  <si>
    <t>11.01.2029</t>
  </si>
  <si>
    <t>12.01.2029</t>
  </si>
  <si>
    <t>01.01.2030</t>
  </si>
  <si>
    <t>02.01.2030</t>
  </si>
  <si>
    <t>03.01.2030</t>
  </si>
  <si>
    <t>04.01.2030</t>
  </si>
  <si>
    <t>05.01.2030</t>
  </si>
  <si>
    <t>06.01.2030</t>
  </si>
  <si>
    <t>07.01.2030</t>
  </si>
  <si>
    <t>08.01.2030</t>
  </si>
  <si>
    <t>09.01.2030</t>
  </si>
  <si>
    <t>10.01.2030</t>
  </si>
  <si>
    <t>11.01.2030</t>
  </si>
  <si>
    <t>12.01.2030</t>
  </si>
  <si>
    <t>01.01.2031</t>
  </si>
  <si>
    <t>02.01.2031</t>
  </si>
  <si>
    <t>03.01.2031</t>
  </si>
  <si>
    <t>04.01.2031</t>
  </si>
  <si>
    <t>05.01.2031</t>
  </si>
  <si>
    <t>06.01.2031</t>
  </si>
  <si>
    <t>07.01.2031</t>
  </si>
  <si>
    <t>08.01.2031</t>
  </si>
  <si>
    <t>09.01.2031</t>
  </si>
  <si>
    <t>10.01.2031</t>
  </si>
  <si>
    <t>11.01.2031</t>
  </si>
  <si>
    <t>12.01.2031</t>
  </si>
  <si>
    <t>01.01.2032</t>
  </si>
  <si>
    <t>02.01.2032</t>
  </si>
  <si>
    <t>03.01.2032</t>
  </si>
  <si>
    <t>04.01.2032</t>
  </si>
  <si>
    <t>05.01.2032</t>
  </si>
  <si>
    <t>06.01.2032</t>
  </si>
  <si>
    <t>07.01.2032</t>
  </si>
  <si>
    <t>08.01.2032</t>
  </si>
  <si>
    <t>09.01.2032</t>
  </si>
  <si>
    <t>10.01.2032</t>
  </si>
  <si>
    <t>11.01.2032</t>
  </si>
  <si>
    <t>12.01.2032</t>
  </si>
  <si>
    <t>01.01.2033</t>
  </si>
  <si>
    <t>02.01.2033</t>
  </si>
  <si>
    <t>03.01.2033</t>
  </si>
  <si>
    <t>04.01.2033</t>
  </si>
  <si>
    <t>05.01.2033</t>
  </si>
  <si>
    <t>06.01.2033</t>
  </si>
  <si>
    <t>07.01.2033</t>
  </si>
  <si>
    <t>08.01.2033</t>
  </si>
  <si>
    <t>09.01.2033</t>
  </si>
  <si>
    <t>10.01.2033</t>
  </si>
  <si>
    <t>11.01.2033</t>
  </si>
  <si>
    <t>12.01.2033</t>
  </si>
  <si>
    <t>01.01.2034</t>
  </si>
  <si>
    <t>02.01.2034</t>
  </si>
  <si>
    <t>03.01.2034</t>
  </si>
  <si>
    <t>04.01.2034</t>
  </si>
  <si>
    <t>05.01.2034</t>
  </si>
  <si>
    <t>06.01.2034</t>
  </si>
  <si>
    <t>07.01.2034</t>
  </si>
  <si>
    <t>08.01.2034</t>
  </si>
  <si>
    <t>09.01.2034</t>
  </si>
  <si>
    <t>10.01.2034</t>
  </si>
  <si>
    <t>11.01.2034</t>
  </si>
  <si>
    <t>12.01.2034</t>
  </si>
  <si>
    <t>01.01.2035</t>
  </si>
  <si>
    <t>02.01.2035</t>
  </si>
  <si>
    <t>03.01.2035</t>
  </si>
  <si>
    <t>04.01.2035</t>
  </si>
  <si>
    <t>05.01.2035</t>
  </si>
  <si>
    <t>06.01.2035</t>
  </si>
  <si>
    <t>07.01.2035</t>
  </si>
  <si>
    <t>08.01.2035</t>
  </si>
  <si>
    <t>Total Estimated Obligation</t>
  </si>
  <si>
    <t xml:space="preserve">APPENDIX — MONTHLY CASH FLOWS
The Summit at Lantana Floor 3,4</t>
  </si>
  <si>
    <t>The Summit at Lantana | Floor 3,4 | 04.01.2028 - 08.31.2035</t>
  </si>
  <si>
    <t>Base Rent</t>
  </si>
  <si>
    <t>OpEx</t>
  </si>
  <si>
    <t>Parking</t>
  </si>
  <si>
    <t>Other Costs</t>
  </si>
  <si>
    <t>Gross Cash Flow</t>
  </si>
  <si>
    <t>Cumulative</t>
  </si>
  <si>
    <t>Present Value</t>
  </si>
  <si>
    <t>Totals</t>
  </si>
  <si>
    <t xml:space="preserve">APPENDIX — MONTHLY CASH FLOWS
Benbrook Suite 200 - Option A</t>
  </si>
  <si>
    <t>Benbrook | 200 | 12.01.2026 - 02.29.2032</t>
  </si>
  <si>
    <t xml:space="preserve">APPENDIX — MONTHLY CASH FLOWS
Benbrook Suite 200 - Option B</t>
  </si>
  <si>
    <t>Benbrook | 200 | 12.01.2026 - 03.31.2034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</si>
</sst>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Red]-&quot;$&quot;#,##0"/>
    <numFmt numFmtId="165" formatCode="$#,##0.00&quot; / SF&quot;"/>
    <numFmt numFmtId="166" formatCode="&quot;$&quot;#,##0.00;[Red]-&quot;$&quot;#,##0.00"/>
  </numFmts>
  <fonts count="14" x14ac:knownFonts="1">
    <font>
      <color theme="1"/>
      <family val="2"/>
      <scheme val="minor"/>
      <sz val="11"/>
      <name val="Calibri"/>
    </font>
    <font>
      <b/>
      <color rgb="FFFFFFFF"/>
      <sz val="26"/>
      <name val="Aptos"/>
    </font>
    <font>
      <b/>
      <color rgb="FF6B7280"/>
      <sz val="9"/>
      <name val="Aptos"/>
    </font>
    <font>
      <b/>
      <color rgb="FF0F1115"/>
      <sz val="10"/>
      <name val="Aptos"/>
    </font>
    <font>
      <b/>
      <color rgb="FFFFFFFF"/>
      <sz val="10"/>
      <name val="Aptos"/>
    </font>
    <font>
      <color rgb="FF0F1115"/>
      <sz val="10"/>
      <name val="Aptos"/>
    </font>
    <font>
      <b/>
      <color rgb="FFFFFFFF"/>
      <sz val="11"/>
      <name val="Aptos"/>
    </font>
    <font>
      <i/>
      <color rgb="FF6B7280"/>
      <sz val="9"/>
      <name val="Aptos"/>
    </font>
    <font>
      <b/>
      <color rgb="FFFFFFFF"/>
      <name val="Aptos"/>
    </font>
    <font>
      <b/>
      <color rgb="FF0F1115"/>
      <sz val="11"/>
      <name val="Aptos"/>
    </font>
    <font>
      <b/>
      <color rgb="FF0F1115"/>
      <name val="Aptos"/>
    </font>
    <font>
      <b/>
      <color rgb="FF6B7280"/>
      <name val="Aptos"/>
    </font>
    <font>
      <i/>
      <color rgb="FF6B7280"/>
      <name val="Aptos"/>
    </font>
    <font>
      <name val="Aptos"/>
    </font>
  </fonts>
  <fills count="5">
    <fill>
      <patternFill patternType="none"/>
    </fill>
    <fill>
      <patternFill patternType="gray125"/>
    </fill>
    <fill>
      <patternFill patternType="solid">
        <fgColor rgb="FF000000"/>
      </patternFill>
    </fill>
    <fill>
      <patternFill patternType="solid">
        <fgColor rgb="FFFFFFFF"/>
      </patternFill>
    </fill>
    <fill>
      <patternFill patternType="solid">
        <fgColor rgb="FFF8FAFC"/>
      </patternFill>
    </fill>
  </fills>
  <borders count="11">
    <border>
      <left/>
      <right/>
      <top/>
      <bottom/>
      <diagonal/>
    </border>
    <border>
      <left/>
      <right/>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diagonal/>
    </border>
    <border>
      <left style="thin">
        <color rgb="FFD1D5DB"/>
      </left>
      <right/>
      <top/>
      <bottom style="thin">
        <color rgb="FFD1D5DB"/>
      </bottom>
      <diagonal/>
    </border>
    <border>
      <left style="thin">
        <color rgb="FFD1D5DB"/>
      </left>
      <right/>
      <top/>
      <bottom/>
      <diagonal/>
    </border>
    <border>
      <left/>
      <right style="thin">
        <color rgb="FFD1D5DB"/>
      </right>
      <top/>
      <bottom/>
      <diagonal/>
    </border>
    <border>
      <left/>
      <right style="thin">
        <color rgb="FFD1D5DB"/>
      </right>
      <top/>
      <bottom style="thin">
        <color rgb="FFD1D5DB"/>
      </bottom>
      <diagonal/>
    </border>
    <border>
      <left/>
      <right/>
      <top style="thin">
        <color rgb="FF111827"/>
      </top>
      <bottom/>
      <diagonal/>
    </border>
    <border>
      <left/>
      <right/>
      <top style="thin">
        <color rgb="FFD1D5DB"/>
      </top>
      <bottom/>
      <diagonal/>
    </border>
    <border>
      <left/>
      <right/>
      <top style="thin">
        <color rgb="FFD1D5DB"/>
      </top>
      <bottom style="thin">
        <color rgb="FFD1D5DB"/>
      </bottom>
      <diagonal/>
    </border>
  </borders>
  <cellStyleXfs count="1">
    <xf numFmtId="0" fontId="0" fillId="0" borderId="0"/>
  </cellStyleXfs>
  <cellXfs count="71">
    <xf numFmtId="0" fontId="0" fillId="0" borderId="0" xfId="0"/>
    <xf numFmtId="0" fontId="1" fillId="2" borderId="0" xfId="0" applyFont="1" applyFill="1" applyAlignment="1">
      <alignment horizontal="center" vertical="center" wrapText="1"/>
    </xf>
    <xf numFmtId="0" fontId="0" fillId="0" borderId="1" xfId="0" applyBorder="1"/>
    <xf numFmtId="0" fontId="0" fillId="3" borderId="2" xfId="0" applyFill="1" applyBorder="1"/>
    <xf numFmtId="0" fontId="2" fillId="3" borderId="3" xfId="0" applyFont="1" applyFill="1" applyBorder="1" applyAlignment="1">
      <alignment horizontal="left" vertical="center"/>
    </xf>
    <xf numFmtId="0" fontId="3" fillId="3" borderId="4" xfId="0" applyFont="1" applyFill="1" applyBorder="1" applyAlignment="1">
      <alignment horizontal="left" vertical="center" wrapText="1"/>
    </xf>
    <xf numFmtId="0" fontId="2" fillId="3" borderId="5" xfId="0" applyFont="1" applyFill="1" applyBorder="1" applyAlignment="1">
      <alignment horizontal="left" vertical="center"/>
    </xf>
    <xf numFmtId="0" fontId="3" fillId="3" borderId="2" xfId="0" applyFont="1" applyFill="1" applyBorder="1" applyAlignment="1">
      <alignment horizontal="left" vertical="center" wrapText="1"/>
    </xf>
    <xf numFmtId="0" fontId="0" fillId="3" borderId="5" xfId="0" applyFill="1" applyBorder="1"/>
    <xf numFmtId="0" fontId="0" fillId="3" borderId="0" xfId="0" applyFill="1"/>
    <xf numFmtId="0" fontId="0" fillId="3" borderId="6" xfId="0" applyFill="1" applyBorder="1"/>
    <xf numFmtId="0" fontId="0" fillId="3" borderId="4" xfId="0" applyFill="1" applyBorder="1"/>
    <xf numFmtId="0" fontId="0" fillId="3" borderId="1" xfId="0" applyFill="1" applyBorder="1"/>
    <xf numFmtId="0" fontId="0" fillId="3" borderId="7" xfId="0" applyFill="1" applyBorder="1"/>
    <xf numFmtId="0" fontId="4" fillId="2" borderId="0" xfId="0" applyFont="1" applyFill="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right" vertical="center"/>
    </xf>
    <xf numFmtId="0" fontId="3" fillId="3" borderId="1" xfId="0" applyFont="1" applyFill="1" applyBorder="1" applyAlignment="1">
      <alignment horizontal="left" vertical="center" wrapText="1"/>
    </xf>
    <xf numFmtId="164" fontId="0" fillId="3" borderId="1" xfId="0" applyNumberFormat="1" applyFill="1" applyBorder="1" applyAlignment="1">
      <alignment horizontal="right" vertical="center"/>
    </xf>
    <xf numFmtId="165" fontId="5" fillId="3" borderId="1" xfId="0" applyNumberFormat="1" applyFont="1" applyFill="1" applyBorder="1" applyAlignment="1">
      <alignment horizontal="right" vertical="center"/>
    </xf>
    <xf numFmtId="0" fontId="3" fillId="4" borderId="1" xfId="0" applyFont="1" applyFill="1" applyBorder="1" applyAlignment="1">
      <alignment horizontal="left" vertical="center" wrapText="1"/>
    </xf>
    <xf numFmtId="164" fontId="0" fillId="4" borderId="1" xfId="0" applyNumberFormat="1" applyFill="1" applyBorder="1" applyAlignment="1">
      <alignment horizontal="right" vertical="center"/>
    </xf>
    <xf numFmtId="165" fontId="5" fillId="4" borderId="1" xfId="0" applyNumberFormat="1" applyFont="1" applyFill="1" applyBorder="1" applyAlignment="1">
      <alignment horizontal="right" vertical="center"/>
    </xf>
    <xf numFmtId="0" fontId="6" fillId="2" borderId="0" xfId="0" applyFont="1" applyFill="1" applyAlignment="1">
      <alignment horizontal="center" vertical="center" wrapText="1"/>
    </xf>
    <xf numFmtId="0" fontId="3" fillId="0" borderId="1" xfId="0" applyFont="1" applyBorder="1" applyAlignment="1">
      <alignment horizontal="center" vertical="center" wrapText="1"/>
    </xf>
    <xf numFmtId="0" fontId="3" fillId="4" borderId="0" xfId="0" applyFont="1" applyFill="1" applyAlignment="1">
      <alignment horizontal="left" vertical="center" wrapText="1"/>
    </xf>
    <xf numFmtId="0" fontId="4" fillId="2" borderId="0" xfId="0" applyFont="1" applyFill="1" applyAlignment="1">
      <alignment horizontal="left" vertical="center" wrapText="1"/>
    </xf>
    <xf numFmtId="0" fontId="2" fillId="3" borderId="8" xfId="0" applyFont="1" applyFill="1" applyBorder="1" applyAlignment="1">
      <alignment horizontal="left" vertical="center"/>
    </xf>
    <xf numFmtId="0" fontId="3" fillId="4" borderId="1" xfId="0" applyFont="1" applyFill="1" applyBorder="1" applyAlignment="1">
      <alignment horizontal="left" vertical="top" wrapText="1"/>
    </xf>
    <xf numFmtId="0" fontId="5" fillId="0" borderId="1" xfId="0" applyFont="1" applyBorder="1" applyAlignment="1">
      <alignment horizontal="left" vertical="top" wrapText="1"/>
    </xf>
    <xf numFmtId="3" fontId="5" fillId="0" borderId="1" xfId="0" applyNumberFormat="1" applyFont="1" applyBorder="1" applyAlignment="1">
      <alignment horizontal="left" vertical="top" wrapText="1"/>
    </xf>
    <xf numFmtId="164" fontId="5" fillId="0" borderId="1" xfId="0" applyNumberFormat="1" applyFont="1" applyBorder="1" applyAlignment="1">
      <alignment horizontal="left" vertical="top" wrapText="1"/>
    </xf>
    <xf numFmtId="10" fontId="5" fillId="0" borderId="1" xfId="0" applyNumberFormat="1" applyFont="1" applyBorder="1" applyAlignment="1">
      <alignment horizontal="left" vertical="top" wrapText="1"/>
    </xf>
    <xf numFmtId="166" fontId="5" fillId="0" borderId="1" xfId="0" applyNumberFormat="1" applyFont="1" applyBorder="1" applyAlignment="1">
      <alignment horizontal="left" vertical="top" wrapText="1"/>
    </xf>
    <xf numFmtId="0" fontId="7" fillId="3" borderId="0" xfId="0" applyFont="1" applyFill="1" applyAlignment="1">
      <alignment horizontal="left" vertical="center" wrapText="1"/>
    </xf>
    <xf numFmtId="0" fontId="8" fillId="2" borderId="0" xfId="0" applyFont="1" applyFill="1" applyAlignment="1">
      <alignment horizontal="left" vertical="center" wrapText="1"/>
    </xf>
    <xf numFmtId="0" fontId="3" fillId="4" borderId="9" xfId="0" applyFont="1" applyFill="1" applyBorder="1" applyAlignment="1">
      <alignment horizontal="left" vertical="center" wrapText="1"/>
    </xf>
    <xf numFmtId="0" fontId="2" fillId="4" borderId="9" xfId="0" applyFont="1" applyFill="1" applyBorder="1" applyAlignment="1">
      <alignment horizontal="left" vertical="center" wrapText="1"/>
    </xf>
    <xf numFmtId="0" fontId="0" fillId="4" borderId="9" xfId="0" applyFill="1" applyBorder="1"/>
    <xf numFmtId="0" fontId="5" fillId="3" borderId="1" xfId="0" applyFont="1" applyFill="1" applyBorder="1" applyAlignment="1">
      <alignment horizontal="center" vertical="top"/>
    </xf>
    <xf numFmtId="0" fontId="5" fillId="3" borderId="1" xfId="0" applyFont="1" applyFill="1" applyBorder="1" applyAlignment="1">
      <alignment horizontal="left" vertical="top" wrapText="1"/>
    </xf>
    <xf numFmtId="0" fontId="9" fillId="4" borderId="2" xfId="0" applyFont="1" applyFill="1" applyBorder="1" applyAlignment="1">
      <alignment horizontal="left" vertical="center"/>
    </xf>
    <xf numFmtId="0" fontId="8" fillId="2" borderId="0" xfId="0" applyFont="1" applyFill="1" applyAlignment="1">
      <alignment horizontal="center" vertical="center" wrapText="1"/>
    </xf>
    <xf numFmtId="0" fontId="10" fillId="3" borderId="1" xfId="0" applyFont="1" applyFill="1" applyBorder="1" applyAlignment="1">
      <alignment horizontal="left" vertical="center" wrapText="1"/>
    </xf>
    <xf numFmtId="166" fontId="0" fillId="3" borderId="1" xfId="0" applyNumberFormat="1" applyFill="1" applyBorder="1" applyAlignment="1">
      <alignment horizontal="right" vertical="center"/>
    </xf>
    <xf numFmtId="0" fontId="10" fillId="4" borderId="1" xfId="0" applyFont="1" applyFill="1" applyBorder="1" applyAlignment="1">
      <alignment horizontal="left" vertical="center" wrapText="1"/>
    </xf>
    <xf numFmtId="164" fontId="0" fillId="0" borderId="0" xfId="0" applyNumberFormat="1" applyAlignment="1">
      <alignment horizontal="right" vertical="center"/>
    </xf>
    <xf numFmtId="0" fontId="11" fillId="4" borderId="0" xfId="0" applyFont="1" applyFill="1" applyAlignment="1">
      <alignment horizontal="center" vertical="center"/>
    </xf>
    <xf numFmtId="0" fontId="12" fillId="4" borderId="0" xfId="0" applyFont="1" applyFill="1" applyAlignment="1">
      <alignment horizontal="left" vertical="center" wrapText="1"/>
    </xf>
    <xf numFmtId="164" fontId="12" fillId="4" borderId="0" xfId="0" applyNumberFormat="1" applyFont="1" applyFill="1" applyAlignment="1">
      <alignment horizontal="right" vertical="center"/>
    </xf>
    <xf numFmtId="0" fontId="0" fillId="3" borderId="1" xfId="0" applyFill="1" applyBorder="1" applyAlignment="1">
      <alignment horizontal="right" vertical="center"/>
    </xf>
    <xf numFmtId="0" fontId="0" fillId="3" borderId="1" xfId="0" applyFill="1" applyBorder="1" applyAlignment="1">
      <alignment horizontal="left" vertical="center"/>
    </xf>
    <xf numFmtId="0" fontId="0" fillId="4" borderId="1" xfId="0" applyFill="1" applyBorder="1" applyAlignment="1">
      <alignment horizontal="right" vertical="center"/>
    </xf>
    <xf numFmtId="0" fontId="0" fillId="4" borderId="1" xfId="0" applyFill="1" applyBorder="1" applyAlignment="1">
      <alignment horizontal="left" vertical="center"/>
    </xf>
    <xf numFmtId="0" fontId="0" fillId="4" borderId="10" xfId="0" applyFill="1" applyBorder="1"/>
    <xf numFmtId="0" fontId="10" fillId="4" borderId="10" xfId="0" applyFont="1" applyFill="1" applyBorder="1" applyAlignment="1">
      <alignment horizontal="left" vertical="center"/>
    </xf>
    <xf numFmtId="164" fontId="10" fillId="4" borderId="10" xfId="0" applyNumberFormat="1" applyFont="1" applyFill="1" applyBorder="1" applyAlignment="1">
      <alignment horizontal="right" vertical="center"/>
    </xf>
    <xf numFmtId="0" fontId="3" fillId="4" borderId="2" xfId="0" applyFont="1" applyFill="1" applyBorder="1" applyAlignment="1">
      <alignment horizontal="left" vertical="center" wrapText="1"/>
    </xf>
    <xf numFmtId="3" fontId="13" fillId="0" borderId="0" xfId="0" applyNumberFormat="1" applyFont="1" applyAlignment="1">
      <alignment horizontal="right" vertical="center"/>
    </xf>
    <xf numFmtId="0" fontId="13" fillId="0" borderId="0" xfId="0" applyFont="1" applyAlignment="1">
      <alignment horizontal="left" vertical="center"/>
    </xf>
    <xf numFmtId="164" fontId="13" fillId="0" borderId="0" xfId="0" applyNumberFormat="1" applyFont="1" applyAlignment="1">
      <alignment horizontal="right" vertical="center"/>
    </xf>
    <xf numFmtId="0" fontId="11" fillId="4" borderId="1" xfId="0" applyFont="1" applyFill="1" applyBorder="1" applyAlignment="1">
      <alignment horizontal="left" vertical="top" wrapText="1"/>
    </xf>
    <xf numFmtId="0" fontId="12" fillId="4" borderId="1" xfId="0" applyFont="1" applyFill="1" applyBorder="1" applyAlignment="1">
      <alignment horizontal="left" vertical="top" wrapText="1"/>
    </xf>
    <xf numFmtId="164" fontId="13" fillId="4" borderId="1" xfId="0" applyNumberFormat="1" applyFont="1" applyFill="1" applyBorder="1" applyAlignment="1">
      <alignment horizontal="right" vertical="center"/>
    </xf>
    <xf numFmtId="164" fontId="12" fillId="4" borderId="1" xfId="0" applyNumberFormat="1" applyFont="1" applyFill="1" applyBorder="1" applyAlignment="1">
      <alignment horizontal="right" vertical="center"/>
    </xf>
    <xf numFmtId="3" fontId="13" fillId="3" borderId="1" xfId="0" applyNumberFormat="1" applyFont="1" applyFill="1" applyBorder="1" applyAlignment="1">
      <alignment horizontal="right" vertical="center"/>
    </xf>
    <xf numFmtId="0" fontId="13" fillId="3" borderId="1" xfId="0" applyFont="1" applyFill="1" applyBorder="1" applyAlignment="1">
      <alignment horizontal="left" vertical="center"/>
    </xf>
    <xf numFmtId="164" fontId="13" fillId="3" borderId="1" xfId="0" applyNumberFormat="1" applyFont="1" applyFill="1" applyBorder="1" applyAlignment="1">
      <alignment horizontal="right" vertical="center"/>
    </xf>
    <xf numFmtId="3" fontId="13" fillId="4" borderId="1" xfId="0" applyNumberFormat="1" applyFont="1" applyFill="1" applyBorder="1" applyAlignment="1">
      <alignment horizontal="right" vertical="center"/>
    </xf>
    <xf numFmtId="0" fontId="13" fillId="4" borderId="1" xfId="0" applyFont="1" applyFill="1" applyBorder="1" applyAlignment="1">
      <alignment horizontal="left" vertical="center"/>
    </xf>
    <xf numFmtId="0" fontId="13" fillId="4" borderId="1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editAs="oneCell">
    <xdr:from>
      <xdr:col>0</xdr:col>
      <xdr:colOff>13592</xdr:colOff>
      <xdr:row>5</xdr:row>
      <xdr:rowOff>66666</xdr:rowOff>
    </xdr:from>
    <xdr:ext cx="2124075"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13930</xdr:colOff>
      <xdr:row>2</xdr:row>
      <xdr:rowOff>75862</xdr:rowOff>
    </xdr:from>
    <xdr:ext cx="809625" cy="3619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14007</xdr:colOff>
      <xdr:row>2</xdr:row>
      <xdr:rowOff>75862</xdr:rowOff>
    </xdr:from>
    <xdr:ext cx="809625" cy="3619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14046</xdr:colOff>
      <xdr:row>2</xdr:row>
      <xdr:rowOff>75862</xdr:rowOff>
    </xdr:from>
    <xdr:ext cx="809625" cy="3619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13333</xdr:colOff>
      <xdr:row>2</xdr:row>
      <xdr:rowOff>128965</xdr:rowOff>
    </xdr:from>
    <xdr:ext cx="523875" cy="2286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13333</xdr:colOff>
      <xdr:row>2</xdr:row>
      <xdr:rowOff>75862</xdr:rowOff>
    </xdr:from>
    <xdr:ext cx="809625" cy="3619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13333</xdr:colOff>
      <xdr:row>2</xdr:row>
      <xdr:rowOff>75862</xdr:rowOff>
    </xdr:from>
    <xdr:ext cx="809625" cy="3619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13333</xdr:colOff>
      <xdr:row>2</xdr:row>
      <xdr:rowOff>75862</xdr:rowOff>
    </xdr:from>
    <xdr:ext cx="809625" cy="3619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workbookViewId="0" showGridLines="0" zoomScale="100" view="pageBreakPreview"/>
  </sheetViews>
  <sheetFormatPr defaultRowHeight="26" outlineLevelRow="0" outlineLevelCol="0" x14ac:dyDescent="55" customHeight="1"/>
  <cols>
    <col min="1" max="7" width="14" customWidth="1"/>
    <col min="8" max="12" width="15" customWidth="1"/>
  </cols>
  <sheetData>
    <row r="1" ht="56" customHeight="1" spans="1:12" x14ac:dyDescent="0.25">
      <c r="A1" s="1" t="s">
        <v>0</v>
      </c>
      <c r="B1" s="1"/>
      <c r="C1" s="1"/>
      <c r="D1" s="1"/>
      <c r="E1" s="1"/>
      <c r="F1" s="1"/>
      <c r="G1" s="1"/>
      <c r="H1" s="1"/>
      <c r="I1" s="1"/>
      <c r="J1" s="1"/>
      <c r="K1" s="1"/>
      <c r="L1" s="1"/>
    </row>
    <row r="2" ht="56" customHeight="1" spans="1:12" x14ac:dyDescent="0.25">
      <c r="A2" s="1"/>
      <c r="B2" s="1"/>
      <c r="C2" s="1"/>
      <c r="D2" s="1"/>
      <c r="E2" s="1"/>
      <c r="F2" s="1"/>
      <c r="G2" s="1"/>
      <c r="H2" s="1"/>
      <c r="I2" s="1"/>
      <c r="J2" s="1"/>
      <c r="K2" s="1"/>
      <c r="L2" s="1"/>
    </row>
    <row r="3" ht="56" customHeight="1" spans="1:12" x14ac:dyDescent="0.25">
      <c r="A3" s="1"/>
      <c r="B3" s="1"/>
      <c r="C3" s="1"/>
      <c r="D3" s="1"/>
      <c r="E3" s="1"/>
      <c r="F3" s="1"/>
      <c r="G3" s="1"/>
      <c r="H3" s="1"/>
      <c r="I3" s="1"/>
      <c r="J3" s="1"/>
      <c r="K3" s="1"/>
      <c r="L3" s="1"/>
    </row>
    <row r="4" ht="56" customHeight="1" spans="1:12" x14ac:dyDescent="0.25">
      <c r="A4" s="1"/>
      <c r="B4" s="1"/>
      <c r="C4" s="1"/>
      <c r="D4" s="1"/>
      <c r="E4" s="1"/>
      <c r="F4" s="1"/>
      <c r="G4" s="1"/>
      <c r="H4" s="1"/>
      <c r="I4" s="1"/>
      <c r="J4" s="1"/>
      <c r="K4" s="1"/>
      <c r="L4" s="1"/>
    </row>
    <row r="5" ht="20" customHeight="1" spans="1:12" x14ac:dyDescent="0.25">
      <c r="A5" s="2"/>
      <c r="B5" s="2"/>
      <c r="C5" s="2"/>
      <c r="D5" s="2"/>
      <c r="E5" s="2"/>
      <c r="F5" s="2"/>
      <c r="G5" s="2"/>
      <c r="H5" s="2"/>
      <c r="I5" s="2"/>
      <c r="J5" s="2"/>
      <c r="K5" s="2"/>
      <c r="L5" s="2"/>
    </row>
    <row r="6" ht="20" customHeight="1" spans="1:12" x14ac:dyDescent="0.25">
      <c r="A6" s="3" t="s">
        <v>1</v>
      </c>
      <c r="B6" s="3"/>
      <c r="C6" s="3"/>
      <c r="D6" s="3"/>
      <c r="E6" s="3"/>
      <c r="F6" s="3"/>
      <c r="G6" s="3"/>
      <c r="H6" s="4" t="s">
        <v>2</v>
      </c>
      <c r="I6" s="4"/>
      <c r="J6" s="4"/>
      <c r="K6" s="4"/>
      <c r="L6" s="4"/>
    </row>
    <row r="7" ht="20" customHeight="1" spans="1:12" x14ac:dyDescent="0.25">
      <c r="A7" s="3"/>
      <c r="B7" s="3"/>
      <c r="C7" s="3"/>
      <c r="D7" s="3"/>
      <c r="E7" s="3"/>
      <c r="F7" s="3"/>
      <c r="G7" s="3"/>
      <c r="H7" s="5" t="s">
        <v>3</v>
      </c>
      <c r="I7" s="5"/>
      <c r="J7" s="5"/>
      <c r="K7" s="5"/>
      <c r="L7" s="5"/>
    </row>
    <row r="8" ht="20" customHeight="1" spans="1:12" x14ac:dyDescent="0.25">
      <c r="A8" s="3"/>
      <c r="B8" s="3"/>
      <c r="C8" s="3"/>
      <c r="D8" s="3"/>
      <c r="E8" s="3"/>
      <c r="F8" s="3"/>
      <c r="G8" s="3"/>
      <c r="H8" s="6" t="s">
        <v>4</v>
      </c>
      <c r="I8" s="6"/>
      <c r="J8" s="6"/>
      <c r="K8" s="6"/>
      <c r="L8" s="6"/>
    </row>
    <row r="9" ht="20" customHeight="1" spans="1:12" x14ac:dyDescent="0.25">
      <c r="A9" s="3"/>
      <c r="B9" s="3"/>
      <c r="C9" s="3"/>
      <c r="D9" s="3"/>
      <c r="E9" s="3"/>
      <c r="F9" s="3"/>
      <c r="G9" s="3"/>
      <c r="H9" s="5" t="s">
        <v>5</v>
      </c>
      <c r="I9" s="5"/>
      <c r="J9" s="5"/>
      <c r="K9" s="5"/>
      <c r="L9" s="5"/>
    </row>
    <row r="10" ht="20" customHeight="1" spans="1:12" x14ac:dyDescent="0.25">
      <c r="A10" s="3"/>
      <c r="B10" s="3"/>
      <c r="C10" s="3"/>
      <c r="D10" s="3"/>
      <c r="E10" s="3"/>
      <c r="F10" s="3"/>
      <c r="G10" s="3"/>
      <c r="H10" s="6" t="s">
        <v>6</v>
      </c>
      <c r="I10" s="6"/>
      <c r="J10" s="6"/>
      <c r="K10" s="6"/>
      <c r="L10" s="6"/>
    </row>
    <row r="11" ht="28" customHeight="1" spans="1:12" x14ac:dyDescent="0.25">
      <c r="A11" s="7" t="s">
        <v>7</v>
      </c>
      <c r="B11" s="7"/>
      <c r="C11" s="7"/>
      <c r="D11" s="7"/>
      <c r="E11" s="7"/>
      <c r="F11" s="7"/>
      <c r="G11" s="7"/>
      <c r="H11" s="5" t="s">
        <v>8</v>
      </c>
      <c r="I11" s="5"/>
      <c r="J11" s="5"/>
      <c r="K11" s="5"/>
      <c r="L11" s="5"/>
    </row>
    <row r="12" ht="28" customHeight="1" spans="1:12" x14ac:dyDescent="0.25">
      <c r="A12" s="7"/>
      <c r="B12" s="7"/>
      <c r="C12" s="7"/>
      <c r="D12" s="7"/>
      <c r="E12" s="7"/>
      <c r="F12" s="7"/>
      <c r="G12" s="7"/>
      <c r="H12" s="6" t="s">
        <v>9</v>
      </c>
      <c r="I12" s="6"/>
      <c r="J12" s="6"/>
      <c r="K12" s="6"/>
      <c r="L12" s="6"/>
    </row>
    <row r="13" ht="28" customHeight="1" spans="1:12" x14ac:dyDescent="0.25">
      <c r="A13" s="7"/>
      <c r="B13" s="7"/>
      <c r="C13" s="7"/>
      <c r="D13" s="7"/>
      <c r="E13" s="7"/>
      <c r="F13" s="7"/>
      <c r="G13" s="7"/>
      <c r="H13" s="5" t="s">
        <v>10</v>
      </c>
      <c r="I13" s="5"/>
      <c r="J13" s="5"/>
      <c r="K13" s="5"/>
      <c r="L13" s="5"/>
    </row>
    <row r="14" ht="28" customHeight="1" spans="1:12" x14ac:dyDescent="0.25">
      <c r="A14" s="7"/>
      <c r="B14" s="7"/>
      <c r="C14" s="7"/>
      <c r="D14" s="7"/>
      <c r="E14" s="7"/>
      <c r="F14" s="7"/>
      <c r="G14" s="7"/>
      <c r="H14" s="8"/>
      <c r="I14" s="9"/>
      <c r="J14" s="9"/>
      <c r="K14" s="9"/>
      <c r="L14" s="10"/>
    </row>
    <row r="15" ht="28" customHeight="1" spans="1:12" x14ac:dyDescent="0.25">
      <c r="A15" s="7"/>
      <c r="B15" s="7"/>
      <c r="C15" s="7"/>
      <c r="D15" s="7"/>
      <c r="E15" s="7"/>
      <c r="F15" s="7"/>
      <c r="G15" s="7"/>
      <c r="H15" s="11"/>
      <c r="I15" s="12"/>
      <c r="J15" s="12"/>
      <c r="K15" s="12"/>
      <c r="L15" s="13"/>
    </row>
    <row r="16" ht="20" customHeight="1" spans="1:12" x14ac:dyDescent="0.25">
      <c r="A16" s="14" t="s">
        <v>11</v>
      </c>
      <c r="B16" s="14"/>
      <c r="C16" s="14"/>
      <c r="D16" s="14"/>
      <c r="E16" s="14"/>
      <c r="F16" s="14"/>
      <c r="G16" s="14"/>
      <c r="H16" s="14"/>
      <c r="I16" s="14"/>
      <c r="J16" s="14"/>
      <c r="K16" s="14"/>
      <c r="L16" s="14"/>
    </row>
    <row r="17" ht="20" customHeight="1" spans="1:12" x14ac:dyDescent="0.25">
      <c r="A17" s="15" t="s">
        <v>12</v>
      </c>
      <c r="B17" s="15"/>
      <c r="C17" s="15"/>
      <c r="D17" s="15"/>
      <c r="E17" s="16" t="s">
        <v>13</v>
      </c>
      <c r="F17" s="16"/>
      <c r="G17" s="16" t="s">
        <v>14</v>
      </c>
      <c r="H17" s="16"/>
      <c r="I17" s="16" t="s">
        <v>15</v>
      </c>
      <c r="J17" s="16"/>
      <c r="K17" s="16" t="s">
        <v>16</v>
      </c>
      <c r="L17" s="16" t="s">
        <v>17</v>
      </c>
    </row>
    <row r="18" ht="28" customHeight="1" spans="1:12" x14ac:dyDescent="0.25">
      <c r="A18" s="17" t="s">
        <v>18</v>
      </c>
      <c r="B18" s="17"/>
      <c r="C18" s="17"/>
      <c r="D18" s="17"/>
      <c r="E18" s="18">
        <f>IFERROR(INDEX('Summary Comparison'!$A:$ZZ,MATCH("NPV cost",'Summary Comparison'!$A:$A,0),3),0)</f>
        <v>794205.89</v>
      </c>
      <c r="F18" s="18"/>
      <c r="G18" s="18">
        <f>IFERROR(INDEX('Summary Comparison'!$A:$ZZ,MATCH("Total obligation",'Summary Comparison'!$A:$A,0),3),0)</f>
        <v>984135.24</v>
      </c>
      <c r="H18" s="18"/>
      <c r="I18" s="18">
        <f>IFERROR(INDEX('Equalized Metrics'!$A:$ZZ,MATCH("Equalized total cost",'Equalized Metrics'!$A:$A,0),3),"—")</f>
      </c>
      <c r="J18" s="18"/>
      <c r="K18" s="19">
        <f>IFERROR(INDEX('Summary Comparison'!$A:$ZZ,MATCH("Avg cost/SF/year",'Summary Comparison'!$A:$A,0),3),0)</f>
        <v>32.7</v>
      </c>
      <c r="L18" s="19">
        <f>IFERROR(INDEX('Equalized Metrics'!$A:$ZZ,MATCH("Equalized avg cost/SF/year",'Equalized Metrics'!$A:$A,0),3),"—")</f>
      </c>
    </row>
    <row r="19" ht="28" customHeight="1" spans="1:12" x14ac:dyDescent="0.25">
      <c r="A19" s="20" t="s">
        <v>19</v>
      </c>
      <c r="B19" s="20"/>
      <c r="C19" s="20"/>
      <c r="D19" s="20"/>
      <c r="E19" s="21">
        <f>IFERROR(INDEX('Summary Comparison'!$A:$ZZ,MATCH("NPV cost",'Summary Comparison'!$A:$A,0),4),0)</f>
        <v>1023746.37</v>
      </c>
      <c r="F19" s="21"/>
      <c r="G19" s="21">
        <f>IFERROR(INDEX('Summary Comparison'!$A:$ZZ,MATCH("Total obligation",'Summary Comparison'!$A:$A,0),4),0)</f>
        <v>1375834.08</v>
      </c>
      <c r="H19" s="21"/>
      <c r="I19" s="21">
        <f>IFERROR(INDEX('Equalized Metrics'!$A:$ZZ,MATCH("Equalized total cost",'Equalized Metrics'!$A:$A,0),4),"—")</f>
      </c>
      <c r="J19" s="21"/>
      <c r="K19" s="22">
        <f>IFERROR(INDEX('Summary Comparison'!$A:$ZZ,MATCH("Avg cost/SF/year",'Summary Comparison'!$A:$A,0),4),0)</f>
        <v>30.18</v>
      </c>
      <c r="L19" s="22">
        <f>IFERROR(INDEX('Equalized Metrics'!$A:$ZZ,MATCH("Equalized avg cost/SF/year",'Equalized Metrics'!$A:$A,0),4),"—")</f>
      </c>
    </row>
    <row r="20" ht="28" customHeight="1" spans="1:12" x14ac:dyDescent="0.25">
      <c r="A20" s="17" t="s">
        <v>20</v>
      </c>
      <c r="B20" s="17"/>
      <c r="C20" s="17"/>
      <c r="D20" s="17"/>
      <c r="E20" s="18">
        <f>IFERROR(INDEX('Summary Comparison'!$A:$ZZ,MATCH("NPV cost",'Summary Comparison'!$A:$A,0),2),0)</f>
        <v>23290150.55</v>
      </c>
      <c r="F20" s="18"/>
      <c r="G20" s="18">
        <f>IFERROR(INDEX('Summary Comparison'!$A:$ZZ,MATCH("Total obligation",'Summary Comparison'!$A:$A,0),2),0)</f>
        <v>31450511.79355</v>
      </c>
      <c r="H20" s="18"/>
      <c r="I20" s="18">
        <f>IFERROR(INDEX('Equalized Metrics'!$A:$ZZ,MATCH("Equalized total cost",'Equalized Metrics'!$A:$A,0),2),"—")</f>
      </c>
      <c r="J20" s="18"/>
      <c r="K20" s="19">
        <f>IFERROR(INDEX('Summary Comparison'!$A:$ZZ,MATCH("Avg cost/SF/year",'Summary Comparison'!$A:$A,0),2),0)</f>
        <v>27.41</v>
      </c>
      <c r="L20" s="19">
        <f>IFERROR(INDEX('Equalized Metrics'!$A:$ZZ,MATCH("Equalized avg cost/SF/year",'Equalized Metrics'!$A:$A,0),2),"—")</f>
      </c>
    </row>
  </sheetData>
  <mergeCells count="28">
    <mergeCell ref="A1:L4"/>
    <mergeCell ref="A6:G10"/>
    <mergeCell ref="H6:L6"/>
    <mergeCell ref="H7:L7"/>
    <mergeCell ref="H8:L8"/>
    <mergeCell ref="H9:L9"/>
    <mergeCell ref="H10:L10"/>
    <mergeCell ref="A11:G15"/>
    <mergeCell ref="H11:L11"/>
    <mergeCell ref="H12:L12"/>
    <mergeCell ref="H13:L13"/>
    <mergeCell ref="A16:L16"/>
    <mergeCell ref="A17:D17"/>
    <mergeCell ref="E17:F17"/>
    <mergeCell ref="G17:H17"/>
    <mergeCell ref="I17:J17"/>
    <mergeCell ref="A18:D18"/>
    <mergeCell ref="E18:F18"/>
    <mergeCell ref="G18:H18"/>
    <mergeCell ref="I18:J18"/>
    <mergeCell ref="A19:D19"/>
    <mergeCell ref="E19:F19"/>
    <mergeCell ref="G19:H19"/>
    <mergeCell ref="I19:J19"/>
    <mergeCell ref="A20:D20"/>
    <mergeCell ref="E20:F20"/>
    <mergeCell ref="G20:H20"/>
    <mergeCell ref="I20:J20"/>
  </mergeCells>
  <pageMargins left="0.25" right="0.25" top="0.45" bottom="0.45" header="0.2" footer="0.2"/>
  <pageSetup paperSize="1" orientation="landscape"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7"/>
  <sheetViews>
    <sheetView workbookViewId="0" showGridLines="0" zoomScale="100" view="pageBreakPreview"/>
  </sheetViews>
  <sheetFormatPr defaultRowHeight="15" outlineLevelRow="0" outlineLevelCol="0" x14ac:dyDescent="55"/>
  <cols>
    <col min="1" max="1" width="28" customWidth="1"/>
    <col min="2" max="4" width="25" customWidth="1"/>
  </cols>
  <sheetData>
    <row r="1" ht="20" customHeight="1" spans="1:4" x14ac:dyDescent="0.25">
      <c r="A1" s="23" t="s">
        <v>21</v>
      </c>
      <c r="B1" s="23"/>
      <c r="C1" s="23"/>
      <c r="D1" s="23"/>
    </row>
    <row r="2" ht="20" customHeight="1" spans="1:4" x14ac:dyDescent="0.25">
      <c r="A2" s="23"/>
      <c r="B2" s="23"/>
      <c r="C2" s="23"/>
      <c r="D2" s="23"/>
    </row>
    <row r="3" ht="22" customHeight="1" spans="2:3" x14ac:dyDescent="0.25">
      <c r="B3" s="24" t="s">
        <v>22</v>
      </c>
      <c r="C3" s="24"/>
    </row>
    <row r="4" ht="22" customHeight="1" spans="1:4" x14ac:dyDescent="0.25">
      <c r="A4" s="2"/>
      <c r="B4" s="24"/>
      <c r="C4" s="24"/>
      <c r="D4" s="2"/>
    </row>
    <row r="6" ht="28" customHeight="1" spans="1:4" x14ac:dyDescent="0.25">
      <c r="A6" s="25" t="s">
        <v>23</v>
      </c>
      <c r="B6" s="26" t="s">
        <v>20</v>
      </c>
      <c r="C6" s="26" t="s">
        <v>18</v>
      </c>
      <c r="D6" s="26" t="s">
        <v>19</v>
      </c>
    </row>
    <row r="7" ht="20" customHeight="1" spans="1:4" x14ac:dyDescent="0.25">
      <c r="A7" s="27" t="s">
        <v>24</v>
      </c>
      <c r="B7" s="27"/>
      <c r="C7" s="27"/>
      <c r="D7" s="27"/>
    </row>
    <row r="8" ht="20" customHeight="1" spans="1:4" x14ac:dyDescent="0.25">
      <c r="A8" s="28" t="s">
        <v>25</v>
      </c>
      <c r="B8" s="29" t="s">
        <v>26</v>
      </c>
      <c r="C8" s="29" t="s">
        <v>26</v>
      </c>
      <c r="D8" s="29" t="s">
        <v>26</v>
      </c>
    </row>
    <row r="9" ht="20" customHeight="1" spans="1:4" x14ac:dyDescent="0.25">
      <c r="A9" s="28" t="s">
        <v>27</v>
      </c>
      <c r="B9" s="29" t="s">
        <v>28</v>
      </c>
      <c r="C9" s="29" t="s">
        <v>29</v>
      </c>
      <c r="D9" s="29" t="s">
        <v>29</v>
      </c>
    </row>
    <row r="10" ht="20" customHeight="1" spans="1:4" x14ac:dyDescent="0.25">
      <c r="A10" s="28" t="s">
        <v>30</v>
      </c>
      <c r="B10" s="29" t="s">
        <v>31</v>
      </c>
      <c r="C10" s="29" t="s">
        <v>32</v>
      </c>
      <c r="D10" s="29" t="s">
        <v>32</v>
      </c>
    </row>
    <row r="11" ht="20" customHeight="1" spans="1:4" x14ac:dyDescent="0.25">
      <c r="A11" s="28" t="s">
        <v>33</v>
      </c>
      <c r="B11" s="29" t="s">
        <v>34</v>
      </c>
      <c r="C11" s="29" t="s">
        <v>1</v>
      </c>
      <c r="D11" s="29" t="s">
        <v>1</v>
      </c>
    </row>
    <row r="12" ht="20" customHeight="1" spans="1:4" x14ac:dyDescent="0.25">
      <c r="A12" s="28" t="s">
        <v>35</v>
      </c>
      <c r="B12" s="30">
        <v>114558</v>
      </c>
      <c r="C12" s="30">
        <v>4626</v>
      </c>
      <c r="D12" s="30">
        <v>4626</v>
      </c>
    </row>
    <row r="13" ht="20" customHeight="1" spans="1:4" x14ac:dyDescent="0.25">
      <c r="A13" s="28" t="s">
        <v>36</v>
      </c>
      <c r="B13" s="29" t="s">
        <v>37</v>
      </c>
      <c r="C13" s="29" t="s">
        <v>38</v>
      </c>
      <c r="D13" s="29" t="s">
        <v>38</v>
      </c>
    </row>
    <row r="14" ht="20" customHeight="1" spans="1:4" x14ac:dyDescent="0.25">
      <c r="A14" s="28" t="s">
        <v>39</v>
      </c>
      <c r="B14" s="29" t="s">
        <v>40</v>
      </c>
      <c r="C14" s="29" t="s">
        <v>41</v>
      </c>
      <c r="D14" s="29" t="s">
        <v>42</v>
      </c>
    </row>
    <row r="15" ht="20" customHeight="1" spans="1:4" x14ac:dyDescent="0.25">
      <c r="A15" s="27" t="s">
        <v>43</v>
      </c>
      <c r="B15" s="27"/>
      <c r="C15" s="27"/>
      <c r="D15" s="27"/>
    </row>
    <row r="16" ht="20" customHeight="1" spans="1:4" x14ac:dyDescent="0.25">
      <c r="A16" s="28" t="s">
        <v>44</v>
      </c>
      <c r="B16" s="29" t="s">
        <v>45</v>
      </c>
      <c r="C16" s="29" t="s">
        <v>46</v>
      </c>
      <c r="D16" s="29" t="s">
        <v>46</v>
      </c>
    </row>
    <row r="17" ht="20" customHeight="1" spans="1:4" x14ac:dyDescent="0.25">
      <c r="A17" s="28" t="s">
        <v>47</v>
      </c>
      <c r="B17" s="30">
        <v>89</v>
      </c>
      <c r="C17" s="30">
        <v>63</v>
      </c>
      <c r="D17" s="30">
        <v>88</v>
      </c>
    </row>
    <row r="18" ht="20" customHeight="1" spans="1:4" x14ac:dyDescent="0.25">
      <c r="A18" s="28" t="s">
        <v>48</v>
      </c>
      <c r="B18" s="31">
        <v>31450511.79</v>
      </c>
      <c r="C18" s="31">
        <v>636838.29</v>
      </c>
      <c r="D18" s="31">
        <v>890720.88</v>
      </c>
    </row>
    <row r="19" ht="20" customHeight="1" spans="1:4" x14ac:dyDescent="0.25">
      <c r="A19" s="28" t="s">
        <v>49</v>
      </c>
      <c r="B19" s="31">
        <v>0</v>
      </c>
      <c r="C19" s="31">
        <v>347296.95</v>
      </c>
      <c r="D19" s="31">
        <v>485113.2</v>
      </c>
    </row>
    <row r="20" ht="20" customHeight="1" spans="1:4" x14ac:dyDescent="0.25">
      <c r="A20" s="28" t="s">
        <v>50</v>
      </c>
      <c r="B20" s="32">
        <v>0.03</v>
      </c>
      <c r="C20" s="32">
        <v>0.03</v>
      </c>
      <c r="D20" s="32">
        <v>0.03</v>
      </c>
    </row>
    <row r="21" ht="20" customHeight="1" spans="1:4" x14ac:dyDescent="0.25">
      <c r="A21" s="28" t="s">
        <v>51</v>
      </c>
      <c r="B21" s="32">
        <v>0.08</v>
      </c>
      <c r="C21" s="32">
        <v>0.08</v>
      </c>
      <c r="D21" s="32">
        <v>0.08</v>
      </c>
    </row>
    <row r="22" ht="20" customHeight="1" spans="1:4" x14ac:dyDescent="0.25">
      <c r="A22" s="27" t="s">
        <v>52</v>
      </c>
      <c r="B22" s="27"/>
      <c r="C22" s="27"/>
      <c r="D22" s="27"/>
    </row>
    <row r="23" ht="28" customHeight="1" spans="1:4" x14ac:dyDescent="0.25">
      <c r="A23" s="28" t="s">
        <v>53</v>
      </c>
      <c r="B23" s="31">
        <v>0</v>
      </c>
      <c r="C23" s="31">
        <v>0</v>
      </c>
      <c r="D23" s="31">
        <v>0</v>
      </c>
    </row>
    <row r="24" ht="20" customHeight="1" spans="1:4" x14ac:dyDescent="0.25">
      <c r="A24" s="28" t="s">
        <v>54</v>
      </c>
      <c r="B24" s="32">
        <v>0.0825</v>
      </c>
      <c r="C24" s="32">
        <v>0.0825</v>
      </c>
      <c r="D24" s="32">
        <v>0.0825</v>
      </c>
    </row>
    <row r="25" ht="28" customHeight="1" spans="1:4" x14ac:dyDescent="0.25">
      <c r="A25" s="28" t="s">
        <v>55</v>
      </c>
      <c r="B25" s="31">
        <f>IFERROR(INDEX($A:$ZZ,MATCH("Parking cost ($/spot/month, pre-tax)",$A:$A,0),COLUMN())*(1+INDEX($A:$ZZ,MATCH("Parking sales tax %",$A:$A,0),COLUMN())),0)</f>
        <v>0</v>
      </c>
      <c r="C25" s="31">
        <f>IFERROR(INDEX($A:$ZZ,MATCH("Parking cost ($/spot/month, pre-tax)",$A:$A,0),COLUMN())*(1+INDEX($A:$ZZ,MATCH("Parking sales tax %",$A:$A,0),COLUMN())),0)</f>
        <v>0</v>
      </c>
      <c r="D25" s="31">
        <f>IFERROR(INDEX($A:$ZZ,MATCH("Parking cost ($/spot/month, pre-tax)",$A:$A,0),COLUMN())*(1+INDEX($A:$ZZ,MATCH("Parking sales tax %",$A:$A,0),COLUMN())),0)</f>
        <v>0</v>
      </c>
    </row>
    <row r="26" ht="20" customHeight="1" spans="1:4" x14ac:dyDescent="0.25">
      <c r="A26" s="28" t="s">
        <v>56</v>
      </c>
      <c r="B26" s="31">
        <v>0</v>
      </c>
      <c r="C26" s="31">
        <v>0</v>
      </c>
      <c r="D26" s="31">
        <v>0</v>
      </c>
    </row>
    <row r="27" ht="20" customHeight="1" spans="1:4" x14ac:dyDescent="0.25">
      <c r="A27" s="27" t="s">
        <v>57</v>
      </c>
      <c r="B27" s="27"/>
      <c r="C27" s="27"/>
      <c r="D27" s="27"/>
    </row>
    <row r="28" ht="20" customHeight="1" spans="1:4" x14ac:dyDescent="0.25">
      <c r="A28" s="28" t="s">
        <v>58</v>
      </c>
      <c r="B28" s="31">
        <v>0</v>
      </c>
      <c r="C28" s="31">
        <v>0</v>
      </c>
      <c r="D28" s="31">
        <v>0</v>
      </c>
    </row>
    <row r="29" ht="20" customHeight="1" spans="1:4" x14ac:dyDescent="0.25">
      <c r="A29" s="28" t="s">
        <v>59</v>
      </c>
      <c r="B29" s="33">
        <v>0</v>
      </c>
      <c r="C29" s="33">
        <v>0</v>
      </c>
      <c r="D29" s="33">
        <v>0</v>
      </c>
    </row>
    <row r="30" ht="20" customHeight="1" spans="1:4" x14ac:dyDescent="0.25">
      <c r="A30" s="28" t="s">
        <v>60</v>
      </c>
      <c r="B30" s="31">
        <v>0</v>
      </c>
      <c r="C30" s="31">
        <v>0</v>
      </c>
      <c r="D30" s="31">
        <v>0</v>
      </c>
    </row>
    <row r="31" ht="20" customHeight="1" spans="1:4" x14ac:dyDescent="0.25">
      <c r="A31" s="27" t="s">
        <v>61</v>
      </c>
      <c r="B31" s="27"/>
      <c r="C31" s="27"/>
      <c r="D31" s="27"/>
    </row>
    <row r="32" ht="20" customHeight="1" spans="1:4" x14ac:dyDescent="0.25">
      <c r="A32" s="28" t="s">
        <v>62</v>
      </c>
      <c r="B32" s="31">
        <f>IFERROR(INDEX('Monthly Gross Cash Flow Matrix'!$A:$ZZ,MATCH("Total Estimated Obligation",'Monthly Gross Cash Flow Matrix'!$B:$B,0),COLUMN()+1),0)</f>
        <v>31450511.79355</v>
      </c>
      <c r="C32" s="31">
        <f>IFERROR(INDEX('Monthly Gross Cash Flow Matrix'!$A:$ZZ,MATCH("Total Estimated Obligation",'Monthly Gross Cash Flow Matrix'!$B:$B,0),COLUMN()+1),0)</f>
        <v>984135.24</v>
      </c>
      <c r="D32" s="31">
        <f>IFERROR(INDEX('Monthly Gross Cash Flow Matrix'!$A:$ZZ,MATCH("Total Estimated Obligation",'Monthly Gross Cash Flow Matrix'!$B:$B,0),COLUMN()+1),0)</f>
        <v>1375834.08</v>
      </c>
    </row>
    <row r="33" ht="20" customHeight="1" spans="1:4" x14ac:dyDescent="0.25">
      <c r="A33" s="28" t="s">
        <v>63</v>
      </c>
      <c r="B33" s="31">
        <v>23290150.55</v>
      </c>
      <c r="C33" s="31">
        <v>794205.89</v>
      </c>
      <c r="D33" s="31">
        <v>1023746.37</v>
      </c>
    </row>
    <row r="34" ht="20" customHeight="1" spans="1:4" x14ac:dyDescent="0.25">
      <c r="A34" s="28" t="s">
        <v>64</v>
      </c>
      <c r="B34" s="31">
        <f>IFERROR(INDEX($A:$ZZ,MATCH("Total obligation",$A:$A,0),COLUMN())/(INDEX($A:$ZZ,MATCH("Term (months)",$A:$A,0),COLUMN())/12),0)</f>
        <v>4240518.443596</v>
      </c>
      <c r="C34" s="31">
        <f>IFERROR(INDEX($A:$ZZ,MATCH("Total obligation",$A:$A,0),COLUMN())/(INDEX($A:$ZZ,MATCH("Term (months)",$A:$A,0),COLUMN())/12),0)</f>
        <v>187454.331429</v>
      </c>
      <c r="D34" s="31">
        <f>IFERROR(INDEX($A:$ZZ,MATCH("Total obligation",$A:$A,0),COLUMN())/(INDEX($A:$ZZ,MATCH("Term (months)",$A:$A,0),COLUMN())/12),0)</f>
        <v>187613.738182</v>
      </c>
    </row>
    <row r="35" ht="20" customHeight="1" spans="1:4" x14ac:dyDescent="0.25">
      <c r="A35" s="28" t="s">
        <v>65</v>
      </c>
      <c r="B35" s="33">
        <f>IFERROR(INDEX($A:$ZZ,MATCH("Avg cost/year",$A:$A,0),COLUMN())/INDEX($A:$ZZ,MATCH("RSF",$A:$A,0),COLUMN()),0)</f>
        <v>27.41</v>
      </c>
      <c r="C35" s="33">
        <f>IFERROR(INDEX($A:$ZZ,MATCH("Avg cost/year",$A:$A,0),COLUMN())/INDEX($A:$ZZ,MATCH("RSF",$A:$A,0),COLUMN()),0)</f>
        <v>32.7</v>
      </c>
      <c r="D35" s="33">
        <f>IFERROR(INDEX($A:$ZZ,MATCH("Avg cost/year",$A:$A,0),COLUMN())/INDEX($A:$ZZ,MATCH("RSF",$A:$A,0),COLUMN()),0)</f>
        <v>30.18</v>
      </c>
    </row>
    <row r="36" ht="20" customHeight="1" spans="1:4" x14ac:dyDescent="0.25">
      <c r="A36" s="28" t="s">
        <v>66</v>
      </c>
      <c r="B36" s="33">
        <f>IFERROR(INDEX('Equalized Metrics'!$A:$ZZ,MATCH("Equalized avg cost/SF/year",'Equalized Metrics'!$A:$A,0),COLUMN()),0)</f>
        <v>27.41</v>
      </c>
      <c r="C36" s="33">
        <f>IFERROR(INDEX('Equalized Metrics'!$A:$ZZ,MATCH("Equalized avg cost/SF/year",'Equalized Metrics'!$A:$A,0),COLUMN()),0)</f>
        <v>32.7</v>
      </c>
      <c r="D36" s="33">
        <f>IFERROR(INDEX('Equalized Metrics'!$A:$ZZ,MATCH("Equalized avg cost/SF/year",'Equalized Metrics'!$A:$A,0),COLUMN()),0)</f>
        <v>30.18</v>
      </c>
    </row>
    <row r="37" ht="28" customHeight="1" spans="1:4" x14ac:dyDescent="0.25">
      <c r="A37" s="34" t="s">
        <v>67</v>
      </c>
      <c r="B37" s="34"/>
      <c r="C37" s="34"/>
      <c r="D37" s="34"/>
    </row>
  </sheetData>
  <mergeCells count="8">
    <mergeCell ref="A1:D2"/>
    <mergeCell ref="B3:C4"/>
    <mergeCell ref="A7:D7"/>
    <mergeCell ref="A15:D15"/>
    <mergeCell ref="A22:D22"/>
    <mergeCell ref="A27:D27"/>
    <mergeCell ref="A31:D31"/>
    <mergeCell ref="A37:D37"/>
  </mergeCells>
  <printOptions horizontalCentered="1"/>
  <pageMargins left="0.25" right="0.25" top="0.45" bottom="0.45" header="0.2" footer="0.2"/>
  <pageSetup paperSize="1" orientation="landscape"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workbookViewId="0" showGridLines="0" zoomScale="100" view="pageBreakPreview"/>
  </sheetViews>
  <sheetFormatPr defaultRowHeight="15" outlineLevelRow="0" outlineLevelCol="0" x14ac:dyDescent="55"/>
  <cols>
    <col min="1" max="1" width="36" customWidth="1"/>
    <col min="2" max="2" width="96" customWidth="1"/>
    <col min="3" max="8" width="6" customWidth="1"/>
  </cols>
  <sheetData>
    <row r="1" ht="20" customHeight="1" spans="1:8" x14ac:dyDescent="0.25">
      <c r="A1" s="23" t="s">
        <v>68</v>
      </c>
      <c r="B1" s="23"/>
      <c r="C1" s="23"/>
      <c r="D1" s="23"/>
      <c r="E1" s="23"/>
      <c r="F1" s="23"/>
      <c r="G1" s="23"/>
      <c r="H1" s="23"/>
    </row>
    <row r="2" ht="20" customHeight="1" spans="1:8" x14ac:dyDescent="0.25">
      <c r="A2" s="23"/>
      <c r="B2" s="23"/>
      <c r="C2" s="23"/>
      <c r="D2" s="23"/>
      <c r="E2" s="23"/>
      <c r="F2" s="23"/>
      <c r="G2" s="23"/>
      <c r="H2" s="23"/>
    </row>
    <row r="3" ht="22" customHeight="1" spans="3:6" x14ac:dyDescent="0.25">
      <c r="C3" s="24" t="s">
        <v>22</v>
      </c>
      <c r="D3" s="24"/>
      <c r="E3" s="24"/>
      <c r="F3" s="24"/>
    </row>
    <row r="4" ht="22" customHeight="1" spans="1:8" x14ac:dyDescent="0.25">
      <c r="A4" s="2"/>
      <c r="B4" s="2"/>
      <c r="C4" s="24"/>
      <c r="D4" s="24"/>
      <c r="E4" s="24"/>
      <c r="F4" s="24"/>
      <c r="G4" s="2"/>
      <c r="H4" s="2"/>
    </row>
    <row r="6" ht="20" customHeight="1" spans="1:8" x14ac:dyDescent="0.25">
      <c r="A6" s="35" t="s">
        <v>12</v>
      </c>
      <c r="B6" s="35" t="s">
        <v>69</v>
      </c>
      <c r="C6" s="12" t="s">
        <v>1</v>
      </c>
      <c r="D6" s="12" t="s">
        <v>1</v>
      </c>
      <c r="E6" s="12" t="s">
        <v>1</v>
      </c>
      <c r="F6" s="12" t="s">
        <v>1</v>
      </c>
      <c r="G6" s="12" t="s">
        <v>1</v>
      </c>
      <c r="H6" s="12" t="s">
        <v>1</v>
      </c>
    </row>
    <row r="7" ht="20" customHeight="1" spans="1:8" x14ac:dyDescent="0.25">
      <c r="A7" s="36" t="s">
        <v>20</v>
      </c>
      <c r="B7" s="37" t="s">
        <v>70</v>
      </c>
      <c r="C7" s="38" t="s">
        <v>1</v>
      </c>
      <c r="D7" s="38" t="s">
        <v>1</v>
      </c>
      <c r="E7" s="38" t="s">
        <v>1</v>
      </c>
      <c r="F7" s="38" t="s">
        <v>1</v>
      </c>
      <c r="G7" s="38" t="s">
        <v>1</v>
      </c>
      <c r="H7" s="38" t="s">
        <v>1</v>
      </c>
    </row>
    <row r="8" ht="28" customHeight="1" spans="1:8" x14ac:dyDescent="0.25">
      <c r="A8" s="39" t="s">
        <v>71</v>
      </c>
      <c r="B8" s="40" t="s">
        <v>72</v>
      </c>
      <c r="C8" s="12" t="s">
        <v>1</v>
      </c>
      <c r="D8" s="12" t="s">
        <v>1</v>
      </c>
      <c r="E8" s="12" t="s">
        <v>1</v>
      </c>
      <c r="F8" s="12" t="s">
        <v>1</v>
      </c>
      <c r="G8" s="12" t="s">
        <v>1</v>
      </c>
      <c r="H8" s="12" t="s">
        <v>1</v>
      </c>
    </row>
    <row r="9" ht="56" customHeight="1" spans="1:8" x14ac:dyDescent="0.25">
      <c r="A9" s="39" t="s">
        <v>71</v>
      </c>
      <c r="B9" s="40" t="s">
        <v>73</v>
      </c>
      <c r="C9" s="12" t="s">
        <v>1</v>
      </c>
      <c r="D9" s="12" t="s">
        <v>1</v>
      </c>
      <c r="E9" s="12" t="s">
        <v>1</v>
      </c>
      <c r="F9" s="12" t="s">
        <v>1</v>
      </c>
      <c r="G9" s="12" t="s">
        <v>1</v>
      </c>
      <c r="H9" s="12" t="s">
        <v>1</v>
      </c>
    </row>
    <row r="10" ht="42" customHeight="1" spans="1:8" x14ac:dyDescent="0.25">
      <c r="A10" s="39" t="s">
        <v>71</v>
      </c>
      <c r="B10" s="40" t="s">
        <v>74</v>
      </c>
      <c r="C10" s="12" t="s">
        <v>1</v>
      </c>
      <c r="D10" s="12" t="s">
        <v>1</v>
      </c>
      <c r="E10" s="12" t="s">
        <v>1</v>
      </c>
      <c r="F10" s="12" t="s">
        <v>1</v>
      </c>
      <c r="G10" s="12" t="s">
        <v>1</v>
      </c>
      <c r="H10" s="12" t="s">
        <v>1</v>
      </c>
    </row>
    <row r="11" ht="42" customHeight="1" spans="1:8" x14ac:dyDescent="0.25">
      <c r="A11" s="39" t="s">
        <v>71</v>
      </c>
      <c r="B11" s="40" t="s">
        <v>75</v>
      </c>
      <c r="C11" s="12" t="s">
        <v>1</v>
      </c>
      <c r="D11" s="12" t="s">
        <v>1</v>
      </c>
      <c r="E11" s="12" t="s">
        <v>1</v>
      </c>
      <c r="F11" s="12" t="s">
        <v>1</v>
      </c>
      <c r="G11" s="12" t="s">
        <v>1</v>
      </c>
      <c r="H11" s="12" t="s">
        <v>1</v>
      </c>
    </row>
    <row r="12" ht="20" customHeight="1" spans="1:8" x14ac:dyDescent="0.25">
      <c r="A12" s="39" t="s">
        <v>71</v>
      </c>
      <c r="B12" s="40" t="s">
        <v>76</v>
      </c>
      <c r="C12" s="12" t="s">
        <v>1</v>
      </c>
      <c r="D12" s="12" t="s">
        <v>1</v>
      </c>
      <c r="E12" s="12" t="s">
        <v>1</v>
      </c>
      <c r="F12" s="12" t="s">
        <v>1</v>
      </c>
      <c r="G12" s="12" t="s">
        <v>1</v>
      </c>
      <c r="H12" s="12" t="s">
        <v>1</v>
      </c>
    </row>
    <row r="13" ht="20" customHeight="1" spans="1:8" x14ac:dyDescent="0.25">
      <c r="A13" s="39" t="s">
        <v>71</v>
      </c>
      <c r="B13" s="40" t="s">
        <v>77</v>
      </c>
      <c r="C13" s="12" t="s">
        <v>1</v>
      </c>
      <c r="D13" s="12" t="s">
        <v>1</v>
      </c>
      <c r="E13" s="12" t="s">
        <v>1</v>
      </c>
      <c r="F13" s="12" t="s">
        <v>1</v>
      </c>
      <c r="G13" s="12" t="s">
        <v>1</v>
      </c>
      <c r="H13" s="12" t="s">
        <v>1</v>
      </c>
    </row>
    <row r="14" ht="20" customHeight="1" spans="1:8" x14ac:dyDescent="0.25">
      <c r="A14" s="36" t="s">
        <v>18</v>
      </c>
      <c r="B14" s="37" t="s">
        <v>70</v>
      </c>
      <c r="C14" s="38" t="s">
        <v>1</v>
      </c>
      <c r="D14" s="38" t="s">
        <v>1</v>
      </c>
      <c r="E14" s="38" t="s">
        <v>1</v>
      </c>
      <c r="F14" s="38" t="s">
        <v>1</v>
      </c>
      <c r="G14" s="38" t="s">
        <v>1</v>
      </c>
      <c r="H14" s="38" t="s">
        <v>1</v>
      </c>
    </row>
    <row r="15" ht="84" customHeight="1" spans="1:8" x14ac:dyDescent="0.25">
      <c r="A15" s="39" t="s">
        <v>71</v>
      </c>
      <c r="B15" s="40" t="s">
        <v>78</v>
      </c>
      <c r="C15" s="12" t="s">
        <v>1</v>
      </c>
      <c r="D15" s="12" t="s">
        <v>1</v>
      </c>
      <c r="E15" s="12" t="s">
        <v>1</v>
      </c>
      <c r="F15" s="12" t="s">
        <v>1</v>
      </c>
      <c r="G15" s="12" t="s">
        <v>1</v>
      </c>
      <c r="H15" s="12" t="s">
        <v>1</v>
      </c>
    </row>
    <row r="16" ht="20" customHeight="1" spans="1:8" x14ac:dyDescent="0.25">
      <c r="A16" s="39" t="s">
        <v>71</v>
      </c>
      <c r="B16" s="40" t="s">
        <v>77</v>
      </c>
      <c r="C16" s="12" t="s">
        <v>1</v>
      </c>
      <c r="D16" s="12" t="s">
        <v>1</v>
      </c>
      <c r="E16" s="12" t="s">
        <v>1</v>
      </c>
      <c r="F16" s="12" t="s">
        <v>1</v>
      </c>
      <c r="G16" s="12" t="s">
        <v>1</v>
      </c>
      <c r="H16" s="12" t="s">
        <v>1</v>
      </c>
    </row>
    <row r="17" ht="20" customHeight="1" spans="1:8" x14ac:dyDescent="0.25">
      <c r="A17" s="39" t="s">
        <v>71</v>
      </c>
      <c r="B17" s="40" t="s">
        <v>79</v>
      </c>
      <c r="C17" s="12" t="s">
        <v>1</v>
      </c>
      <c r="D17" s="12" t="s">
        <v>1</v>
      </c>
      <c r="E17" s="12" t="s">
        <v>1</v>
      </c>
      <c r="F17" s="12" t="s">
        <v>1</v>
      </c>
      <c r="G17" s="12" t="s">
        <v>1</v>
      </c>
      <c r="H17" s="12" t="s">
        <v>1</v>
      </c>
    </row>
    <row r="18" ht="20" customHeight="1" spans="1:8" x14ac:dyDescent="0.25">
      <c r="A18" s="36" t="s">
        <v>19</v>
      </c>
      <c r="B18" s="37" t="s">
        <v>70</v>
      </c>
      <c r="C18" s="38" t="s">
        <v>1</v>
      </c>
      <c r="D18" s="38" t="s">
        <v>1</v>
      </c>
      <c r="E18" s="38" t="s">
        <v>1</v>
      </c>
      <c r="F18" s="38" t="s">
        <v>1</v>
      </c>
      <c r="G18" s="38" t="s">
        <v>1</v>
      </c>
      <c r="H18" s="38" t="s">
        <v>1</v>
      </c>
    </row>
    <row r="19" ht="84" customHeight="1" spans="1:8" x14ac:dyDescent="0.25">
      <c r="A19" s="39" t="s">
        <v>71</v>
      </c>
      <c r="B19" s="40" t="s">
        <v>78</v>
      </c>
      <c r="C19" s="12" t="s">
        <v>1</v>
      </c>
      <c r="D19" s="12" t="s">
        <v>1</v>
      </c>
      <c r="E19" s="12" t="s">
        <v>1</v>
      </c>
      <c r="F19" s="12" t="s">
        <v>1</v>
      </c>
      <c r="G19" s="12" t="s">
        <v>1</v>
      </c>
      <c r="H19" s="12" t="s">
        <v>1</v>
      </c>
    </row>
    <row r="20" ht="20" customHeight="1" spans="1:8" x14ac:dyDescent="0.25">
      <c r="A20" s="39" t="s">
        <v>71</v>
      </c>
      <c r="B20" s="40" t="s">
        <v>77</v>
      </c>
      <c r="C20" s="12" t="s">
        <v>1</v>
      </c>
      <c r="D20" s="12" t="s">
        <v>1</v>
      </c>
      <c r="E20" s="12" t="s">
        <v>1</v>
      </c>
      <c r="F20" s="12" t="s">
        <v>1</v>
      </c>
      <c r="G20" s="12" t="s">
        <v>1</v>
      </c>
      <c r="H20" s="12" t="s">
        <v>1</v>
      </c>
    </row>
    <row r="21" ht="20" customHeight="1" spans="1:8" x14ac:dyDescent="0.25">
      <c r="A21" s="39" t="s">
        <v>71</v>
      </c>
      <c r="B21" s="40" t="s">
        <v>80</v>
      </c>
      <c r="C21" s="12" t="s">
        <v>1</v>
      </c>
      <c r="D21" s="12" t="s">
        <v>1</v>
      </c>
      <c r="E21" s="12" t="s">
        <v>1</v>
      </c>
      <c r="F21" s="12" t="s">
        <v>1</v>
      </c>
      <c r="G21" s="12" t="s">
        <v>1</v>
      </c>
      <c r="H21" s="12" t="s">
        <v>1</v>
      </c>
    </row>
  </sheetData>
  <mergeCells count="2">
    <mergeCell ref="A1:H2"/>
    <mergeCell ref="C3:F4"/>
  </mergeCells>
  <pageMargins left="0.25" right="0.25" top="0.45" bottom="0.45" header="0.2" footer="0.2"/>
  <pageSetup paperSize="1" orientation="landscape" horizontalDpi="4294967295" verticalDpi="4294967295" scale="100" fitToWidth="1" fitToHeight="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3"/>
  <sheetViews>
    <sheetView workbookViewId="0" showGridLines="0" zoomScale="100" view="pageBreakPreview"/>
  </sheetViews>
  <sheetFormatPr defaultRowHeight="15" outlineLevelRow="0" outlineLevelCol="0" x14ac:dyDescent="55"/>
  <cols>
    <col min="1" max="1" width="42" customWidth="1"/>
    <col min="2" max="4" width="24" customWidth="1"/>
  </cols>
  <sheetData>
    <row r="1" ht="20" customHeight="1" spans="1:4" x14ac:dyDescent="0.25">
      <c r="A1" s="23" t="s">
        <v>81</v>
      </c>
      <c r="B1" s="23"/>
      <c r="C1" s="23"/>
      <c r="D1" s="23"/>
    </row>
    <row r="2" ht="20" customHeight="1" spans="1:4" x14ac:dyDescent="0.25">
      <c r="A2" s="23"/>
      <c r="B2" s="23"/>
      <c r="C2" s="23"/>
      <c r="D2" s="23"/>
    </row>
    <row r="3" ht="22" customHeight="1" spans="2:3" x14ac:dyDescent="0.25">
      <c r="B3" s="24" t="s">
        <v>22</v>
      </c>
      <c r="C3" s="24"/>
    </row>
    <row r="4" ht="22" customHeight="1" spans="1:4" x14ac:dyDescent="0.25">
      <c r="A4" s="2"/>
      <c r="B4" s="24"/>
      <c r="C4" s="24"/>
      <c r="D4" s="2"/>
    </row>
    <row r="6" ht="20" customHeight="1" spans="1:4" x14ac:dyDescent="0.25">
      <c r="A6" s="41" t="s">
        <v>82</v>
      </c>
      <c r="B6" s="41"/>
      <c r="C6" s="41"/>
      <c r="D6" s="41"/>
    </row>
    <row r="7" ht="20" customHeight="1" x14ac:dyDescent="0.25"/>
    <row r="8" ht="28" customHeight="1" spans="1:4" x14ac:dyDescent="0.25">
      <c r="A8" s="42" t="s">
        <v>23</v>
      </c>
      <c r="B8" s="42" t="s">
        <v>20</v>
      </c>
      <c r="C8" s="42" t="s">
        <v>18</v>
      </c>
      <c r="D8" s="42" t="s">
        <v>19</v>
      </c>
    </row>
    <row r="9" ht="20" customHeight="1" spans="1:4" x14ac:dyDescent="0.25">
      <c r="A9" s="43" t="s">
        <v>83</v>
      </c>
      <c r="B9" s="44">
        <f>IFERROR(B12/(114558*3.917808219178),0)</f>
        <v>33.503407</v>
      </c>
      <c r="C9" s="44">
        <f>IFERROR(C12/(4626*3.917808219178),0)</f>
        <v>43.622179</v>
      </c>
      <c r="D9" s="44">
        <f>IFERROR(D12/(4626*3.917808219178),0)</f>
        <v>42.535688</v>
      </c>
    </row>
    <row r="10" ht="20" customHeight="1" spans="1:4" x14ac:dyDescent="0.25">
      <c r="A10" s="45" t="s">
        <v>84</v>
      </c>
      <c r="B10" s="21">
        <f>IFERROR(B12/47,0)</f>
        <v>319933.499748</v>
      </c>
      <c r="C10" s="21">
        <f>IFERROR(C12/47,0)</f>
        <v>16821.251489</v>
      </c>
      <c r="D10" s="21">
        <f>IFERROR(D12/47,0)</f>
        <v>16402.286809</v>
      </c>
    </row>
    <row r="11" ht="20" customHeight="1" spans="1:4" x14ac:dyDescent="0.25">
      <c r="A11" s="43" t="s">
        <v>85</v>
      </c>
      <c r="B11" s="18">
        <f>IFERROR(B12/(47/12),0)</f>
        <v>3839201.996974</v>
      </c>
      <c r="C11" s="18">
        <f>IFERROR(C12/(47/12),0)</f>
        <v>201855.017872</v>
      </c>
      <c r="D11" s="18">
        <f>IFERROR(D12/(47/12),0)</f>
        <v>196827.441702</v>
      </c>
    </row>
    <row r="12" ht="20" customHeight="1" spans="1:4" x14ac:dyDescent="0.25">
      <c r="A12" s="45" t="s">
        <v>86</v>
      </c>
      <c r="B12" s="21">
        <f>IFERROR(SUM('Monthly Gross Cash Flow Matrix'!C28:C74),0)</f>
        <v>15036874.48815</v>
      </c>
      <c r="C12" s="21">
        <f>IFERROR(SUM('Monthly Gross Cash Flow Matrix'!D28:D74),0)</f>
        <v>790598.82</v>
      </c>
      <c r="D12" s="21">
        <f>IFERROR(SUM('Monthly Gross Cash Flow Matrix'!E28:E74),0)</f>
        <v>770907.48</v>
      </c>
    </row>
    <row r="13" ht="20" customHeight="1" spans="1:4" x14ac:dyDescent="0.25">
      <c r="A13" s="43" t="s">
        <v>87</v>
      </c>
      <c r="B13" s="18">
        <f>IFERROR(SUMPRODUCT('Monthly Gross Cash Flow Matrix'!C28:C74,1/POWER(1+0.00643403011,ROW('Monthly Gross Cash Flow Matrix'!C28:C74)-ROW('Monthly Gross Cash Flow Matrix'!C28))),0)</f>
        <v>12782211.15771</v>
      </c>
      <c r="C13" s="18">
        <f>IFERROR(SUMPRODUCT('Monthly Gross Cash Flow Matrix'!D28:D74,1/POWER(1+0.00643403011,ROW('Monthly Gross Cash Flow Matrix'!D28:D74)-ROW('Monthly Gross Cash Flow Matrix'!D28))),0)</f>
        <v>683399.038264</v>
      </c>
      <c r="D13" s="18">
        <f>IFERROR(SUMPRODUCT('Monthly Gross Cash Flow Matrix'!E28:E74,1/POWER(1+0.00643403011,ROW('Monthly Gross Cash Flow Matrix'!E28:E74)-ROW('Monthly Gross Cash Flow Matrix'!E28))),0)</f>
        <v>666395.887716</v>
      </c>
    </row>
  </sheetData>
  <mergeCells count="3">
    <mergeCell ref="A1:D2"/>
    <mergeCell ref="B3:C4"/>
    <mergeCell ref="A6:D6"/>
  </mergeCells>
  <pageMargins left="0.25" right="0.25" top="0.45" bottom="0.45" header="0.2" footer="0.2"/>
  <pageSetup paperSize="1" orientation="landscape" horizontalDpi="4294967295" verticalDpi="4294967295" scale="100" fitToWidth="1" fitToHeight="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7"/>
  <sheetViews>
    <sheetView workbookViewId="0" showGridLines="0" zoomScale="100" view="pageBreakPreview"/>
  </sheetViews>
  <sheetFormatPr defaultRowHeight="15" outlineLevelRow="0" outlineLevelCol="0" x14ac:dyDescent="55"/>
  <cols>
    <col min="1" max="1" width="10" customWidth="1"/>
    <col min="2" max="2" width="24" customWidth="1"/>
    <col min="3" max="5" width="22" customWidth="1"/>
    <col min="7" max="9" width="2" hidden="1" customWidth="1"/>
  </cols>
  <sheetData>
    <row r="1" ht="20" customHeight="1" spans="1:5" x14ac:dyDescent="0.25">
      <c r="A1" s="23" t="s">
        <v>88</v>
      </c>
      <c r="B1" s="23"/>
      <c r="C1" s="23"/>
      <c r="D1" s="23"/>
      <c r="E1" s="23"/>
    </row>
    <row r="2" ht="20" customHeight="1" spans="1:5" x14ac:dyDescent="0.25">
      <c r="A2" s="23"/>
      <c r="B2" s="23"/>
      <c r="C2" s="23"/>
      <c r="D2" s="23"/>
      <c r="E2" s="23"/>
    </row>
    <row r="3" ht="22" customHeight="1" spans="2:4" x14ac:dyDescent="0.25">
      <c r="B3" s="24" t="s">
        <v>22</v>
      </c>
      <c r="C3" s="24"/>
      <c r="D3" s="24"/>
    </row>
    <row r="4" ht="22" customHeight="1" spans="1:5" x14ac:dyDescent="0.25">
      <c r="A4" s="2"/>
      <c r="B4" s="24"/>
      <c r="C4" s="24"/>
      <c r="D4" s="24"/>
      <c r="E4" s="2"/>
    </row>
    <row r="6" ht="28" customHeight="1" spans="1:9" x14ac:dyDescent="0.25">
      <c r="A6" s="42" t="s">
        <v>89</v>
      </c>
      <c r="B6" s="42" t="s">
        <v>90</v>
      </c>
      <c r="C6" s="42" t="s">
        <v>20</v>
      </c>
      <c r="D6" s="42" t="s">
        <v>18</v>
      </c>
      <c r="E6" s="42" t="s">
        <v>19</v>
      </c>
      <c r="G6" t="s">
        <v>91</v>
      </c>
      <c r="H6" t="s">
        <v>92</v>
      </c>
      <c r="I6" t="s">
        <v>93</v>
      </c>
    </row>
    <row r="7" ht="20" customHeight="1" spans="1:5" x14ac:dyDescent="0.25">
      <c r="A7">
        <v>0</v>
      </c>
      <c r="B7" t="s">
        <v>94</v>
      </c>
      <c r="C7" s="46">
        <v>0</v>
      </c>
      <c r="D7" s="46">
        <v>0</v>
      </c>
      <c r="E7" s="46">
        <v>0</v>
      </c>
    </row>
    <row r="8" ht="20" customHeight="1" spans="1:5" x14ac:dyDescent="0.25">
      <c r="A8" s="47" t="s">
        <v>95</v>
      </c>
      <c r="B8" s="48" t="s">
        <v>96</v>
      </c>
      <c r="C8" s="49">
        <v>0</v>
      </c>
      <c r="D8" s="49">
        <v>0</v>
      </c>
      <c r="E8" s="49">
        <v>0</v>
      </c>
    </row>
    <row r="9" ht="28" customHeight="1" spans="1:5" x14ac:dyDescent="0.25">
      <c r="A9" s="47" t="s">
        <v>97</v>
      </c>
      <c r="B9" s="48" t="s">
        <v>98</v>
      </c>
      <c r="C9" s="49">
        <v>0</v>
      </c>
      <c r="D9" s="49">
        <v>0</v>
      </c>
      <c r="E9" s="49">
        <v>0</v>
      </c>
    </row>
    <row r="10" ht="28" customHeight="1" spans="1:5" x14ac:dyDescent="0.25">
      <c r="A10" s="47" t="s">
        <v>99</v>
      </c>
      <c r="B10" s="48" t="s">
        <v>100</v>
      </c>
      <c r="C10" s="49">
        <f>C8+C9</f>
        <v>0</v>
      </c>
      <c r="D10" s="49">
        <f>D8+D9</f>
        <v>0</v>
      </c>
      <c r="E10" s="49">
        <f>E8+E9</f>
        <v>0</v>
      </c>
    </row>
    <row r="11" ht="20" customHeight="1" spans="1:5" x14ac:dyDescent="0.25">
      <c r="A11" s="47" t="s">
        <v>101</v>
      </c>
      <c r="B11" s="48" t="s">
        <v>102</v>
      </c>
      <c r="C11" s="49">
        <f>SUM(G12:G116)</f>
        <v>0</v>
      </c>
      <c r="D11" s="49">
        <f>SUM(H12:H116)</f>
        <v>0</v>
      </c>
      <c r="E11" s="49">
        <f>SUM(I12:I116)</f>
        <v>0</v>
      </c>
    </row>
    <row r="12" ht="20" customHeight="1" spans="1:9" x14ac:dyDescent="0.25">
      <c r="A12" s="50">
        <v>1</v>
      </c>
      <c r="B12" s="51" t="s">
        <v>38</v>
      </c>
      <c r="C12" s="51" t="s">
        <v>103</v>
      </c>
      <c r="D12" s="18">
        <v>5512.65</v>
      </c>
      <c r="E12" s="18">
        <v>5512.65</v>
      </c>
      <c r="G12">
        <v>0</v>
      </c>
      <c r="H12">
        <v>0</v>
      </c>
      <c r="I12">
        <v>0</v>
      </c>
    </row>
    <row r="13" ht="20" customHeight="1" spans="1:9" x14ac:dyDescent="0.25">
      <c r="A13" s="52">
        <v>2</v>
      </c>
      <c r="B13" s="53" t="s">
        <v>104</v>
      </c>
      <c r="C13" s="53" t="s">
        <v>103</v>
      </c>
      <c r="D13" s="21">
        <v>5512.65</v>
      </c>
      <c r="E13" s="21">
        <v>5512.65</v>
      </c>
      <c r="G13">
        <v>0</v>
      </c>
      <c r="H13">
        <v>0</v>
      </c>
      <c r="I13">
        <v>0</v>
      </c>
    </row>
    <row r="14" ht="20" customHeight="1" spans="1:9" x14ac:dyDescent="0.25">
      <c r="A14" s="50">
        <v>3</v>
      </c>
      <c r="B14" s="51" t="s">
        <v>105</v>
      </c>
      <c r="C14" s="51" t="s">
        <v>103</v>
      </c>
      <c r="D14" s="18">
        <v>5512.65</v>
      </c>
      <c r="E14" s="18">
        <v>5512.65</v>
      </c>
      <c r="G14">
        <v>0</v>
      </c>
      <c r="H14">
        <v>0</v>
      </c>
      <c r="I14">
        <v>0</v>
      </c>
    </row>
    <row r="15" ht="20" customHeight="1" spans="1:9" x14ac:dyDescent="0.25">
      <c r="A15" s="52">
        <v>4</v>
      </c>
      <c r="B15" s="53" t="s">
        <v>106</v>
      </c>
      <c r="C15" s="53" t="s">
        <v>103</v>
      </c>
      <c r="D15" s="21">
        <v>5512.65</v>
      </c>
      <c r="E15" s="21">
        <v>5512.65</v>
      </c>
      <c r="G15">
        <v>0</v>
      </c>
      <c r="H15">
        <v>0</v>
      </c>
      <c r="I15">
        <v>0</v>
      </c>
    </row>
    <row r="16" ht="20" customHeight="1" spans="1:9" x14ac:dyDescent="0.25">
      <c r="A16" s="50">
        <v>5</v>
      </c>
      <c r="B16" s="51" t="s">
        <v>107</v>
      </c>
      <c r="C16" s="51" t="s">
        <v>103</v>
      </c>
      <c r="D16" s="18">
        <v>5512.65</v>
      </c>
      <c r="E16" s="18">
        <v>5512.65</v>
      </c>
      <c r="G16">
        <v>0</v>
      </c>
      <c r="H16">
        <v>0</v>
      </c>
      <c r="I16">
        <v>0</v>
      </c>
    </row>
    <row r="17" ht="20" customHeight="1" spans="1:9" x14ac:dyDescent="0.25">
      <c r="A17" s="52">
        <v>6</v>
      </c>
      <c r="B17" s="53" t="s">
        <v>108</v>
      </c>
      <c r="C17" s="53" t="s">
        <v>103</v>
      </c>
      <c r="D17" s="21">
        <v>5512.65</v>
      </c>
      <c r="E17" s="21">
        <v>5512.65</v>
      </c>
      <c r="G17">
        <v>0</v>
      </c>
      <c r="H17">
        <v>0</v>
      </c>
      <c r="I17">
        <v>0</v>
      </c>
    </row>
    <row r="18" ht="20" customHeight="1" spans="1:9" x14ac:dyDescent="0.25">
      <c r="A18" s="50">
        <v>7</v>
      </c>
      <c r="B18" s="51" t="s">
        <v>109</v>
      </c>
      <c r="C18" s="51" t="s">
        <v>103</v>
      </c>
      <c r="D18" s="18">
        <v>15921.15</v>
      </c>
      <c r="E18" s="18">
        <v>5512.65</v>
      </c>
      <c r="G18">
        <v>0</v>
      </c>
      <c r="H18">
        <v>0</v>
      </c>
      <c r="I18">
        <v>0</v>
      </c>
    </row>
    <row r="19" ht="20" customHeight="1" spans="1:9" x14ac:dyDescent="0.25">
      <c r="A19" s="52">
        <v>8</v>
      </c>
      <c r="B19" s="53" t="s">
        <v>110</v>
      </c>
      <c r="C19" s="53" t="s">
        <v>103</v>
      </c>
      <c r="D19" s="21">
        <v>15921.15</v>
      </c>
      <c r="E19" s="21">
        <v>5512.65</v>
      </c>
      <c r="G19">
        <v>0</v>
      </c>
      <c r="H19">
        <v>0</v>
      </c>
      <c r="I19">
        <v>0</v>
      </c>
    </row>
    <row r="20" ht="20" customHeight="1" spans="1:9" x14ac:dyDescent="0.25">
      <c r="A20" s="50">
        <v>9</v>
      </c>
      <c r="B20" s="51" t="s">
        <v>111</v>
      </c>
      <c r="C20" s="51" t="s">
        <v>103</v>
      </c>
      <c r="D20" s="18">
        <v>15921.15</v>
      </c>
      <c r="E20" s="18">
        <v>15535.65</v>
      </c>
      <c r="G20">
        <v>0</v>
      </c>
      <c r="H20">
        <v>0</v>
      </c>
      <c r="I20">
        <v>0</v>
      </c>
    </row>
    <row r="21" ht="20" customHeight="1" spans="1:9" x14ac:dyDescent="0.25">
      <c r="A21" s="52">
        <v>10</v>
      </c>
      <c r="B21" s="53" t="s">
        <v>112</v>
      </c>
      <c r="C21" s="53" t="s">
        <v>103</v>
      </c>
      <c r="D21" s="21">
        <v>15921.15</v>
      </c>
      <c r="E21" s="21">
        <v>15535.65</v>
      </c>
      <c r="G21">
        <v>0</v>
      </c>
      <c r="H21">
        <v>0</v>
      </c>
      <c r="I21">
        <v>0</v>
      </c>
    </row>
    <row r="22" ht="20" customHeight="1" spans="1:9" x14ac:dyDescent="0.25">
      <c r="A22" s="50">
        <v>11</v>
      </c>
      <c r="B22" s="51" t="s">
        <v>113</v>
      </c>
      <c r="C22" s="51" t="s">
        <v>103</v>
      </c>
      <c r="D22" s="18">
        <v>15921.15</v>
      </c>
      <c r="E22" s="18">
        <v>15535.65</v>
      </c>
      <c r="G22">
        <v>0</v>
      </c>
      <c r="H22">
        <v>0</v>
      </c>
      <c r="I22">
        <v>0</v>
      </c>
    </row>
    <row r="23" ht="20" customHeight="1" spans="1:9" x14ac:dyDescent="0.25">
      <c r="A23" s="52">
        <v>12</v>
      </c>
      <c r="B23" s="53" t="s">
        <v>114</v>
      </c>
      <c r="C23" s="53" t="s">
        <v>103</v>
      </c>
      <c r="D23" s="21">
        <v>15921.15</v>
      </c>
      <c r="E23" s="21">
        <v>15535.65</v>
      </c>
      <c r="G23">
        <v>0</v>
      </c>
      <c r="H23">
        <v>0</v>
      </c>
      <c r="I23">
        <v>0</v>
      </c>
    </row>
    <row r="24" ht="20" customHeight="1" spans="1:9" x14ac:dyDescent="0.25">
      <c r="A24" s="50">
        <v>13</v>
      </c>
      <c r="B24" s="51" t="s">
        <v>115</v>
      </c>
      <c r="C24" s="51" t="s">
        <v>103</v>
      </c>
      <c r="D24" s="18">
        <v>16233.405</v>
      </c>
      <c r="E24" s="18">
        <v>15836.34</v>
      </c>
      <c r="G24">
        <v>0</v>
      </c>
      <c r="H24">
        <v>0</v>
      </c>
      <c r="I24">
        <v>0</v>
      </c>
    </row>
    <row r="25" ht="20" customHeight="1" spans="1:9" x14ac:dyDescent="0.25">
      <c r="A25" s="52">
        <v>14</v>
      </c>
      <c r="B25" s="53" t="s">
        <v>116</v>
      </c>
      <c r="C25" s="53" t="s">
        <v>103</v>
      </c>
      <c r="D25" s="21">
        <v>16233.405</v>
      </c>
      <c r="E25" s="21">
        <v>15836.34</v>
      </c>
      <c r="G25">
        <v>0</v>
      </c>
      <c r="H25">
        <v>0</v>
      </c>
      <c r="I25">
        <v>0</v>
      </c>
    </row>
    <row r="26" ht="20" customHeight="1" spans="1:9" x14ac:dyDescent="0.25">
      <c r="A26" s="50">
        <v>15</v>
      </c>
      <c r="B26" s="51" t="s">
        <v>117</v>
      </c>
      <c r="C26" s="51" t="s">
        <v>103</v>
      </c>
      <c r="D26" s="18">
        <v>16233.405</v>
      </c>
      <c r="E26" s="18">
        <v>15836.34</v>
      </c>
      <c r="G26">
        <v>0</v>
      </c>
      <c r="H26">
        <v>0</v>
      </c>
      <c r="I26">
        <v>0</v>
      </c>
    </row>
    <row r="27" ht="20" customHeight="1" spans="1:9" x14ac:dyDescent="0.25">
      <c r="A27" s="52">
        <v>16</v>
      </c>
      <c r="B27" s="53" t="s">
        <v>118</v>
      </c>
      <c r="C27" s="53" t="s">
        <v>103</v>
      </c>
      <c r="D27" s="21">
        <v>16233.405</v>
      </c>
      <c r="E27" s="21">
        <v>15836.34</v>
      </c>
      <c r="G27">
        <v>0</v>
      </c>
      <c r="H27">
        <v>0</v>
      </c>
      <c r="I27">
        <v>0</v>
      </c>
    </row>
    <row r="28" ht="20" customHeight="1" spans="1:9" x14ac:dyDescent="0.25">
      <c r="A28" s="50">
        <v>17</v>
      </c>
      <c r="B28" s="51" t="s">
        <v>37</v>
      </c>
      <c r="C28" s="18">
        <v>0</v>
      </c>
      <c r="D28" s="18">
        <v>16233.405</v>
      </c>
      <c r="E28" s="18">
        <v>15836.34</v>
      </c>
      <c r="G28">
        <v>0</v>
      </c>
      <c r="H28">
        <v>0</v>
      </c>
      <c r="I28">
        <v>0</v>
      </c>
    </row>
    <row r="29" ht="20" customHeight="1" spans="1:9" x14ac:dyDescent="0.25">
      <c r="A29" s="52">
        <v>18</v>
      </c>
      <c r="B29" s="53" t="s">
        <v>119</v>
      </c>
      <c r="C29" s="21">
        <v>0</v>
      </c>
      <c r="D29" s="21">
        <v>16233.405</v>
      </c>
      <c r="E29" s="21">
        <v>15836.34</v>
      </c>
      <c r="G29">
        <v>0</v>
      </c>
      <c r="H29">
        <v>0</v>
      </c>
      <c r="I29">
        <v>0</v>
      </c>
    </row>
    <row r="30" ht="20" customHeight="1" spans="1:9" x14ac:dyDescent="0.25">
      <c r="A30" s="50">
        <v>19</v>
      </c>
      <c r="B30" s="51" t="s">
        <v>120</v>
      </c>
      <c r="C30" s="18">
        <v>0</v>
      </c>
      <c r="D30" s="18">
        <v>16233.405</v>
      </c>
      <c r="E30" s="18">
        <v>15836.34</v>
      </c>
      <c r="G30">
        <v>0</v>
      </c>
      <c r="H30">
        <v>0</v>
      </c>
      <c r="I30">
        <v>0</v>
      </c>
    </row>
    <row r="31" ht="20" customHeight="1" spans="1:9" x14ac:dyDescent="0.25">
      <c r="A31" s="52">
        <v>20</v>
      </c>
      <c r="B31" s="53" t="s">
        <v>121</v>
      </c>
      <c r="C31" s="21">
        <v>0</v>
      </c>
      <c r="D31" s="21">
        <v>16233.405</v>
      </c>
      <c r="E31" s="21">
        <v>15836.34</v>
      </c>
      <c r="G31">
        <v>0</v>
      </c>
      <c r="H31">
        <v>0</v>
      </c>
      <c r="I31">
        <v>0</v>
      </c>
    </row>
    <row r="32" ht="20" customHeight="1" spans="1:9" x14ac:dyDescent="0.25">
      <c r="A32" s="50">
        <v>21</v>
      </c>
      <c r="B32" s="51" t="s">
        <v>122</v>
      </c>
      <c r="C32" s="18">
        <v>0</v>
      </c>
      <c r="D32" s="18">
        <v>16233.405</v>
      </c>
      <c r="E32" s="18">
        <v>15836.34</v>
      </c>
      <c r="G32">
        <v>0</v>
      </c>
      <c r="H32">
        <v>0</v>
      </c>
      <c r="I32">
        <v>0</v>
      </c>
    </row>
    <row r="33" ht="20" customHeight="1" spans="1:9" x14ac:dyDescent="0.25">
      <c r="A33" s="52">
        <v>22</v>
      </c>
      <c r="B33" s="53" t="s">
        <v>123</v>
      </c>
      <c r="C33" s="21">
        <v>343674</v>
      </c>
      <c r="D33" s="21">
        <v>16233.405</v>
      </c>
      <c r="E33" s="21">
        <v>15836.34</v>
      </c>
      <c r="G33">
        <v>0</v>
      </c>
      <c r="H33">
        <v>0</v>
      </c>
      <c r="I33">
        <v>0</v>
      </c>
    </row>
    <row r="34" ht="20" customHeight="1" spans="1:9" x14ac:dyDescent="0.25">
      <c r="A34" s="50">
        <v>23</v>
      </c>
      <c r="B34" s="51" t="s">
        <v>124</v>
      </c>
      <c r="C34" s="18">
        <v>343674</v>
      </c>
      <c r="D34" s="18">
        <v>16233.405</v>
      </c>
      <c r="E34" s="18">
        <v>15836.34</v>
      </c>
      <c r="G34">
        <v>0</v>
      </c>
      <c r="H34">
        <v>0</v>
      </c>
      <c r="I34">
        <v>0</v>
      </c>
    </row>
    <row r="35" ht="20" customHeight="1" spans="1:9" x14ac:dyDescent="0.25">
      <c r="A35" s="52">
        <v>24</v>
      </c>
      <c r="B35" s="53" t="s">
        <v>125</v>
      </c>
      <c r="C35" s="21">
        <v>343674</v>
      </c>
      <c r="D35" s="21">
        <v>16233.405</v>
      </c>
      <c r="E35" s="21">
        <v>15836.34</v>
      </c>
      <c r="G35">
        <v>0</v>
      </c>
      <c r="H35">
        <v>0</v>
      </c>
      <c r="I35">
        <v>0</v>
      </c>
    </row>
    <row r="36" ht="20" customHeight="1" spans="1:9" x14ac:dyDescent="0.25">
      <c r="A36" s="50">
        <v>25</v>
      </c>
      <c r="B36" s="51" t="s">
        <v>126</v>
      </c>
      <c r="C36" s="18">
        <v>343674</v>
      </c>
      <c r="D36" s="18">
        <v>16553.37</v>
      </c>
      <c r="E36" s="18">
        <v>16144.74</v>
      </c>
      <c r="G36">
        <v>0</v>
      </c>
      <c r="H36">
        <v>0</v>
      </c>
      <c r="I36">
        <v>0</v>
      </c>
    </row>
    <row r="37" ht="20" customHeight="1" spans="1:9" x14ac:dyDescent="0.25">
      <c r="A37" s="52">
        <v>26</v>
      </c>
      <c r="B37" s="53" t="s">
        <v>127</v>
      </c>
      <c r="C37" s="21">
        <v>343674</v>
      </c>
      <c r="D37" s="21">
        <v>16553.37</v>
      </c>
      <c r="E37" s="21">
        <v>16144.74</v>
      </c>
      <c r="G37">
        <v>0</v>
      </c>
      <c r="H37">
        <v>0</v>
      </c>
      <c r="I37">
        <v>0</v>
      </c>
    </row>
    <row r="38" ht="20" customHeight="1" spans="1:9" x14ac:dyDescent="0.25">
      <c r="A38" s="50">
        <v>27</v>
      </c>
      <c r="B38" s="51" t="s">
        <v>128</v>
      </c>
      <c r="C38" s="18">
        <v>343674</v>
      </c>
      <c r="D38" s="18">
        <v>16553.37</v>
      </c>
      <c r="E38" s="18">
        <v>16144.74</v>
      </c>
      <c r="G38">
        <v>0</v>
      </c>
      <c r="H38">
        <v>0</v>
      </c>
      <c r="I38">
        <v>0</v>
      </c>
    </row>
    <row r="39" ht="20" customHeight="1" spans="1:9" x14ac:dyDescent="0.25">
      <c r="A39" s="52">
        <v>28</v>
      </c>
      <c r="B39" s="53" t="s">
        <v>129</v>
      </c>
      <c r="C39" s="21">
        <v>343674</v>
      </c>
      <c r="D39" s="21">
        <v>16553.37</v>
      </c>
      <c r="E39" s="21">
        <v>16144.74</v>
      </c>
      <c r="G39">
        <v>0</v>
      </c>
      <c r="H39">
        <v>0</v>
      </c>
      <c r="I39">
        <v>0</v>
      </c>
    </row>
    <row r="40" ht="20" customHeight="1" spans="1:9" x14ac:dyDescent="0.25">
      <c r="A40" s="50">
        <v>29</v>
      </c>
      <c r="B40" s="51" t="s">
        <v>130</v>
      </c>
      <c r="C40" s="18">
        <v>352265.85</v>
      </c>
      <c r="D40" s="18">
        <v>16553.37</v>
      </c>
      <c r="E40" s="18">
        <v>16144.74</v>
      </c>
      <c r="G40">
        <v>0</v>
      </c>
      <c r="H40">
        <v>0</v>
      </c>
      <c r="I40">
        <v>0</v>
      </c>
    </row>
    <row r="41" ht="20" customHeight="1" spans="1:9" x14ac:dyDescent="0.25">
      <c r="A41" s="52">
        <v>30</v>
      </c>
      <c r="B41" s="53" t="s">
        <v>131</v>
      </c>
      <c r="C41" s="21">
        <v>352265.85</v>
      </c>
      <c r="D41" s="21">
        <v>16553.37</v>
      </c>
      <c r="E41" s="21">
        <v>16144.74</v>
      </c>
      <c r="G41">
        <v>0</v>
      </c>
      <c r="H41">
        <v>0</v>
      </c>
      <c r="I41">
        <v>0</v>
      </c>
    </row>
    <row r="42" ht="20" customHeight="1" spans="1:9" x14ac:dyDescent="0.25">
      <c r="A42" s="50">
        <v>31</v>
      </c>
      <c r="B42" s="51" t="s">
        <v>132</v>
      </c>
      <c r="C42" s="18">
        <v>352265.85</v>
      </c>
      <c r="D42" s="18">
        <v>16553.37</v>
      </c>
      <c r="E42" s="18">
        <v>16144.74</v>
      </c>
      <c r="G42">
        <v>0</v>
      </c>
      <c r="H42">
        <v>0</v>
      </c>
      <c r="I42">
        <v>0</v>
      </c>
    </row>
    <row r="43" ht="20" customHeight="1" spans="1:9" x14ac:dyDescent="0.25">
      <c r="A43" s="52">
        <v>32</v>
      </c>
      <c r="B43" s="53" t="s">
        <v>133</v>
      </c>
      <c r="C43" s="21">
        <v>352265.85</v>
      </c>
      <c r="D43" s="21">
        <v>16553.37</v>
      </c>
      <c r="E43" s="21">
        <v>16144.74</v>
      </c>
      <c r="G43">
        <v>0</v>
      </c>
      <c r="H43">
        <v>0</v>
      </c>
      <c r="I43">
        <v>0</v>
      </c>
    </row>
    <row r="44" ht="20" customHeight="1" spans="1:9" x14ac:dyDescent="0.25">
      <c r="A44" s="50">
        <v>33</v>
      </c>
      <c r="B44" s="51" t="s">
        <v>134</v>
      </c>
      <c r="C44" s="18">
        <v>352265.85</v>
      </c>
      <c r="D44" s="18">
        <v>16553.37</v>
      </c>
      <c r="E44" s="18">
        <v>16144.74</v>
      </c>
      <c r="G44">
        <v>0</v>
      </c>
      <c r="H44">
        <v>0</v>
      </c>
      <c r="I44">
        <v>0</v>
      </c>
    </row>
    <row r="45" ht="20" customHeight="1" spans="1:9" x14ac:dyDescent="0.25">
      <c r="A45" s="52">
        <v>34</v>
      </c>
      <c r="B45" s="53" t="s">
        <v>135</v>
      </c>
      <c r="C45" s="21">
        <v>352265.85</v>
      </c>
      <c r="D45" s="21">
        <v>16553.37</v>
      </c>
      <c r="E45" s="21">
        <v>16144.74</v>
      </c>
      <c r="G45">
        <v>0</v>
      </c>
      <c r="H45">
        <v>0</v>
      </c>
      <c r="I45">
        <v>0</v>
      </c>
    </row>
    <row r="46" ht="20" customHeight="1" spans="1:9" x14ac:dyDescent="0.25">
      <c r="A46" s="50">
        <v>35</v>
      </c>
      <c r="B46" s="51" t="s">
        <v>136</v>
      </c>
      <c r="C46" s="18">
        <v>352265.85</v>
      </c>
      <c r="D46" s="18">
        <v>16553.37</v>
      </c>
      <c r="E46" s="18">
        <v>16144.74</v>
      </c>
      <c r="G46">
        <v>0</v>
      </c>
      <c r="H46">
        <v>0</v>
      </c>
      <c r="I46">
        <v>0</v>
      </c>
    </row>
    <row r="47" ht="20" customHeight="1" spans="1:9" x14ac:dyDescent="0.25">
      <c r="A47" s="52">
        <v>36</v>
      </c>
      <c r="B47" s="53" t="s">
        <v>137</v>
      </c>
      <c r="C47" s="21">
        <v>352265.85</v>
      </c>
      <c r="D47" s="21">
        <v>16553.37</v>
      </c>
      <c r="E47" s="21">
        <v>16144.74</v>
      </c>
      <c r="G47">
        <v>0</v>
      </c>
      <c r="H47">
        <v>0</v>
      </c>
      <c r="I47">
        <v>0</v>
      </c>
    </row>
    <row r="48" ht="20" customHeight="1" spans="1:9" x14ac:dyDescent="0.25">
      <c r="A48" s="50">
        <v>37</v>
      </c>
      <c r="B48" s="51" t="s">
        <v>138</v>
      </c>
      <c r="C48" s="18">
        <v>352265.85</v>
      </c>
      <c r="D48" s="18">
        <v>16884.9</v>
      </c>
      <c r="E48" s="18">
        <v>16464.705</v>
      </c>
      <c r="G48">
        <v>0</v>
      </c>
      <c r="H48">
        <v>0</v>
      </c>
      <c r="I48">
        <v>0</v>
      </c>
    </row>
    <row r="49" ht="20" customHeight="1" spans="1:9" x14ac:dyDescent="0.25">
      <c r="A49" s="52">
        <v>38</v>
      </c>
      <c r="B49" s="53" t="s">
        <v>139</v>
      </c>
      <c r="C49" s="21">
        <v>352265.85</v>
      </c>
      <c r="D49" s="21">
        <v>16884.9</v>
      </c>
      <c r="E49" s="21">
        <v>16464.705</v>
      </c>
      <c r="G49">
        <v>0</v>
      </c>
      <c r="H49">
        <v>0</v>
      </c>
      <c r="I49">
        <v>0</v>
      </c>
    </row>
    <row r="50" ht="20" customHeight="1" spans="1:9" x14ac:dyDescent="0.25">
      <c r="A50" s="50">
        <v>39</v>
      </c>
      <c r="B50" s="51" t="s">
        <v>140</v>
      </c>
      <c r="C50" s="18">
        <v>352265.85</v>
      </c>
      <c r="D50" s="18">
        <v>16884.9</v>
      </c>
      <c r="E50" s="18">
        <v>16464.705</v>
      </c>
      <c r="G50">
        <v>0</v>
      </c>
      <c r="H50">
        <v>0</v>
      </c>
      <c r="I50">
        <v>0</v>
      </c>
    </row>
    <row r="51" ht="20" customHeight="1" spans="1:9" x14ac:dyDescent="0.25">
      <c r="A51" s="52">
        <v>40</v>
      </c>
      <c r="B51" s="53" t="s">
        <v>141</v>
      </c>
      <c r="C51" s="21">
        <v>352265.85</v>
      </c>
      <c r="D51" s="21">
        <v>16884.9</v>
      </c>
      <c r="E51" s="21">
        <v>16464.705</v>
      </c>
      <c r="G51">
        <v>0</v>
      </c>
      <c r="H51">
        <v>0</v>
      </c>
      <c r="I51">
        <v>0</v>
      </c>
    </row>
    <row r="52" ht="20" customHeight="1" spans="1:9" x14ac:dyDescent="0.25">
      <c r="A52" s="50">
        <v>41</v>
      </c>
      <c r="B52" s="51" t="s">
        <v>142</v>
      </c>
      <c r="C52" s="18">
        <v>361072.4963</v>
      </c>
      <c r="D52" s="18">
        <v>16884.9</v>
      </c>
      <c r="E52" s="18">
        <v>16464.705</v>
      </c>
      <c r="G52">
        <v>0</v>
      </c>
      <c r="H52">
        <v>0</v>
      </c>
      <c r="I52">
        <v>0</v>
      </c>
    </row>
    <row r="53" ht="20" customHeight="1" spans="1:9" x14ac:dyDescent="0.25">
      <c r="A53" s="52">
        <v>42</v>
      </c>
      <c r="B53" s="53" t="s">
        <v>143</v>
      </c>
      <c r="C53" s="21">
        <v>361072.4963</v>
      </c>
      <c r="D53" s="21">
        <v>16884.9</v>
      </c>
      <c r="E53" s="21">
        <v>16464.705</v>
      </c>
      <c r="G53">
        <v>0</v>
      </c>
      <c r="H53">
        <v>0</v>
      </c>
      <c r="I53">
        <v>0</v>
      </c>
    </row>
    <row r="54" ht="20" customHeight="1" spans="1:9" x14ac:dyDescent="0.25">
      <c r="A54" s="50">
        <v>43</v>
      </c>
      <c r="B54" s="51" t="s">
        <v>144</v>
      </c>
      <c r="C54" s="18">
        <v>361072.4963</v>
      </c>
      <c r="D54" s="18">
        <v>16884.9</v>
      </c>
      <c r="E54" s="18">
        <v>16464.705</v>
      </c>
      <c r="G54">
        <v>0</v>
      </c>
      <c r="H54">
        <v>0</v>
      </c>
      <c r="I54">
        <v>0</v>
      </c>
    </row>
    <row r="55" ht="20" customHeight="1" spans="1:9" x14ac:dyDescent="0.25">
      <c r="A55" s="52">
        <v>44</v>
      </c>
      <c r="B55" s="53" t="s">
        <v>145</v>
      </c>
      <c r="C55" s="21">
        <v>361072.4963</v>
      </c>
      <c r="D55" s="21">
        <v>16884.9</v>
      </c>
      <c r="E55" s="21">
        <v>16464.705</v>
      </c>
      <c r="G55">
        <v>0</v>
      </c>
      <c r="H55">
        <v>0</v>
      </c>
      <c r="I55">
        <v>0</v>
      </c>
    </row>
    <row r="56" ht="20" customHeight="1" spans="1:9" x14ac:dyDescent="0.25">
      <c r="A56" s="50">
        <v>45</v>
      </c>
      <c r="B56" s="51" t="s">
        <v>146</v>
      </c>
      <c r="C56" s="18">
        <v>361072.4963</v>
      </c>
      <c r="D56" s="18">
        <v>16884.9</v>
      </c>
      <c r="E56" s="18">
        <v>16464.705</v>
      </c>
      <c r="G56">
        <v>0</v>
      </c>
      <c r="H56">
        <v>0</v>
      </c>
      <c r="I56">
        <v>0</v>
      </c>
    </row>
    <row r="57" ht="20" customHeight="1" spans="1:9" x14ac:dyDescent="0.25">
      <c r="A57" s="52">
        <v>46</v>
      </c>
      <c r="B57" s="53" t="s">
        <v>147</v>
      </c>
      <c r="C57" s="21">
        <v>361072.4963</v>
      </c>
      <c r="D57" s="21">
        <v>16884.9</v>
      </c>
      <c r="E57" s="21">
        <v>16464.705</v>
      </c>
      <c r="G57">
        <v>0</v>
      </c>
      <c r="H57">
        <v>0</v>
      </c>
      <c r="I57">
        <v>0</v>
      </c>
    </row>
    <row r="58" ht="20" customHeight="1" spans="1:9" x14ac:dyDescent="0.25">
      <c r="A58" s="50">
        <v>47</v>
      </c>
      <c r="B58" s="51" t="s">
        <v>148</v>
      </c>
      <c r="C58" s="18">
        <v>361072.4963</v>
      </c>
      <c r="D58" s="18">
        <v>16884.9</v>
      </c>
      <c r="E58" s="18">
        <v>16464.705</v>
      </c>
      <c r="G58">
        <v>0</v>
      </c>
      <c r="H58">
        <v>0</v>
      </c>
      <c r="I58">
        <v>0</v>
      </c>
    </row>
    <row r="59" ht="20" customHeight="1" spans="1:9" x14ac:dyDescent="0.25">
      <c r="A59" s="52">
        <v>48</v>
      </c>
      <c r="B59" s="53" t="s">
        <v>149</v>
      </c>
      <c r="C59" s="21">
        <v>361072.4963</v>
      </c>
      <c r="D59" s="21">
        <v>16884.9</v>
      </c>
      <c r="E59" s="21">
        <v>16464.705</v>
      </c>
      <c r="G59">
        <v>0</v>
      </c>
      <c r="H59">
        <v>0</v>
      </c>
      <c r="I59">
        <v>0</v>
      </c>
    </row>
    <row r="60" ht="20" customHeight="1" spans="1:9" x14ac:dyDescent="0.25">
      <c r="A60" s="50">
        <v>49</v>
      </c>
      <c r="B60" s="51" t="s">
        <v>150</v>
      </c>
      <c r="C60" s="18">
        <v>361072.4963</v>
      </c>
      <c r="D60" s="18">
        <v>17227.995</v>
      </c>
      <c r="E60" s="18">
        <v>16792.38</v>
      </c>
      <c r="G60">
        <v>0</v>
      </c>
      <c r="H60">
        <v>0</v>
      </c>
      <c r="I60">
        <v>0</v>
      </c>
    </row>
    <row r="61" ht="20" customHeight="1" spans="1:9" x14ac:dyDescent="0.25">
      <c r="A61" s="52">
        <v>50</v>
      </c>
      <c r="B61" s="53" t="s">
        <v>151</v>
      </c>
      <c r="C61" s="21">
        <v>361072.4963</v>
      </c>
      <c r="D61" s="21">
        <v>17227.995</v>
      </c>
      <c r="E61" s="21">
        <v>16792.38</v>
      </c>
      <c r="G61">
        <v>0</v>
      </c>
      <c r="H61">
        <v>0</v>
      </c>
      <c r="I61">
        <v>0</v>
      </c>
    </row>
    <row r="62" ht="20" customHeight="1" spans="1:9" x14ac:dyDescent="0.25">
      <c r="A62" s="50">
        <v>51</v>
      </c>
      <c r="B62" s="51" t="s">
        <v>152</v>
      </c>
      <c r="C62" s="18">
        <v>361072.4963</v>
      </c>
      <c r="D62" s="18">
        <v>17227.995</v>
      </c>
      <c r="E62" s="18">
        <v>16792.38</v>
      </c>
      <c r="G62">
        <v>0</v>
      </c>
      <c r="H62">
        <v>0</v>
      </c>
      <c r="I62">
        <v>0</v>
      </c>
    </row>
    <row r="63" ht="20" customHeight="1" spans="1:9" x14ac:dyDescent="0.25">
      <c r="A63" s="52">
        <v>52</v>
      </c>
      <c r="B63" s="53" t="s">
        <v>153</v>
      </c>
      <c r="C63" s="21">
        <v>361072.4963</v>
      </c>
      <c r="D63" s="21">
        <v>17227.995</v>
      </c>
      <c r="E63" s="21">
        <v>16792.38</v>
      </c>
      <c r="G63">
        <v>0</v>
      </c>
      <c r="H63">
        <v>0</v>
      </c>
      <c r="I63">
        <v>0</v>
      </c>
    </row>
    <row r="64" ht="20" customHeight="1" spans="1:9" x14ac:dyDescent="0.25">
      <c r="A64" s="50">
        <v>53</v>
      </c>
      <c r="B64" s="51" t="s">
        <v>154</v>
      </c>
      <c r="C64" s="18">
        <v>370099.6666</v>
      </c>
      <c r="D64" s="18">
        <v>17227.995</v>
      </c>
      <c r="E64" s="18">
        <v>16792.38</v>
      </c>
      <c r="G64">
        <v>0</v>
      </c>
      <c r="H64">
        <v>0</v>
      </c>
      <c r="I64">
        <v>0</v>
      </c>
    </row>
    <row r="65" ht="20" customHeight="1" spans="1:9" x14ac:dyDescent="0.25">
      <c r="A65" s="52">
        <v>54</v>
      </c>
      <c r="B65" s="53" t="s">
        <v>155</v>
      </c>
      <c r="C65" s="21">
        <v>370099.6666</v>
      </c>
      <c r="D65" s="21">
        <v>17227.995</v>
      </c>
      <c r="E65" s="21">
        <v>16792.38</v>
      </c>
      <c r="G65">
        <v>0</v>
      </c>
      <c r="H65">
        <v>0</v>
      </c>
      <c r="I65">
        <v>0</v>
      </c>
    </row>
    <row r="66" ht="20" customHeight="1" spans="1:9" x14ac:dyDescent="0.25">
      <c r="A66" s="50">
        <v>55</v>
      </c>
      <c r="B66" s="51" t="s">
        <v>156</v>
      </c>
      <c r="C66" s="18">
        <v>370099.6666</v>
      </c>
      <c r="D66" s="18">
        <v>17227.995</v>
      </c>
      <c r="E66" s="18">
        <v>16792.38</v>
      </c>
      <c r="G66">
        <v>0</v>
      </c>
      <c r="H66">
        <v>0</v>
      </c>
      <c r="I66">
        <v>0</v>
      </c>
    </row>
    <row r="67" ht="20" customHeight="1" spans="1:9" x14ac:dyDescent="0.25">
      <c r="A67" s="52">
        <v>56</v>
      </c>
      <c r="B67" s="53" t="s">
        <v>157</v>
      </c>
      <c r="C67" s="21">
        <v>370099.6666</v>
      </c>
      <c r="D67" s="21">
        <v>17227.995</v>
      </c>
      <c r="E67" s="21">
        <v>16792.38</v>
      </c>
      <c r="G67">
        <v>0</v>
      </c>
      <c r="H67">
        <v>0</v>
      </c>
      <c r="I67">
        <v>0</v>
      </c>
    </row>
    <row r="68" ht="20" customHeight="1" spans="1:9" x14ac:dyDescent="0.25">
      <c r="A68" s="50">
        <v>57</v>
      </c>
      <c r="B68" s="51" t="s">
        <v>158</v>
      </c>
      <c r="C68" s="18">
        <v>370099.6666</v>
      </c>
      <c r="D68" s="18">
        <v>17227.995</v>
      </c>
      <c r="E68" s="18">
        <v>16792.38</v>
      </c>
      <c r="G68">
        <v>0</v>
      </c>
      <c r="H68">
        <v>0</v>
      </c>
      <c r="I68">
        <v>0</v>
      </c>
    </row>
    <row r="69" ht="20" customHeight="1" spans="1:9" x14ac:dyDescent="0.25">
      <c r="A69" s="52">
        <v>58</v>
      </c>
      <c r="B69" s="53" t="s">
        <v>159</v>
      </c>
      <c r="C69" s="21">
        <v>370099.6666</v>
      </c>
      <c r="D69" s="21">
        <v>17227.995</v>
      </c>
      <c r="E69" s="21">
        <v>16792.38</v>
      </c>
      <c r="G69">
        <v>0</v>
      </c>
      <c r="H69">
        <v>0</v>
      </c>
      <c r="I69">
        <v>0</v>
      </c>
    </row>
    <row r="70" ht="20" customHeight="1" spans="1:9" x14ac:dyDescent="0.25">
      <c r="A70" s="50">
        <v>59</v>
      </c>
      <c r="B70" s="51" t="s">
        <v>160</v>
      </c>
      <c r="C70" s="18">
        <v>370099.6666</v>
      </c>
      <c r="D70" s="18">
        <v>17227.995</v>
      </c>
      <c r="E70" s="18">
        <v>16792.38</v>
      </c>
      <c r="G70">
        <v>0</v>
      </c>
      <c r="H70">
        <v>0</v>
      </c>
      <c r="I70">
        <v>0</v>
      </c>
    </row>
    <row r="71" ht="20" customHeight="1" spans="1:9" x14ac:dyDescent="0.25">
      <c r="A71" s="52">
        <v>60</v>
      </c>
      <c r="B71" s="53" t="s">
        <v>161</v>
      </c>
      <c r="C71" s="21">
        <v>370099.6666</v>
      </c>
      <c r="D71" s="21">
        <v>17227.995</v>
      </c>
      <c r="E71" s="21">
        <v>16792.38</v>
      </c>
      <c r="G71">
        <v>0</v>
      </c>
      <c r="H71">
        <v>0</v>
      </c>
      <c r="I71">
        <v>0</v>
      </c>
    </row>
    <row r="72" ht="20" customHeight="1" spans="1:9" x14ac:dyDescent="0.25">
      <c r="A72" s="50">
        <v>61</v>
      </c>
      <c r="B72" s="51" t="s">
        <v>162</v>
      </c>
      <c r="C72" s="18">
        <v>370099.6666</v>
      </c>
      <c r="D72" s="18">
        <v>17578.8</v>
      </c>
      <c r="E72" s="18">
        <v>17131.62</v>
      </c>
      <c r="G72">
        <v>0</v>
      </c>
      <c r="H72">
        <v>0</v>
      </c>
      <c r="I72">
        <v>0</v>
      </c>
    </row>
    <row r="73" ht="20" customHeight="1" spans="1:9" x14ac:dyDescent="0.25">
      <c r="A73" s="52">
        <v>62</v>
      </c>
      <c r="B73" s="53" t="s">
        <v>163</v>
      </c>
      <c r="C73" s="21">
        <v>370099.6666</v>
      </c>
      <c r="D73" s="21">
        <v>17578.8</v>
      </c>
      <c r="E73" s="21">
        <v>17131.62</v>
      </c>
      <c r="G73">
        <v>0</v>
      </c>
      <c r="H73">
        <v>0</v>
      </c>
      <c r="I73">
        <v>0</v>
      </c>
    </row>
    <row r="74" ht="20" customHeight="1" spans="1:9" x14ac:dyDescent="0.25">
      <c r="A74" s="50">
        <v>63</v>
      </c>
      <c r="B74" s="51" t="s">
        <v>164</v>
      </c>
      <c r="C74" s="18">
        <v>370099.6666</v>
      </c>
      <c r="D74" s="18">
        <v>17578.8</v>
      </c>
      <c r="E74" s="18">
        <v>17131.62</v>
      </c>
      <c r="G74">
        <v>0</v>
      </c>
      <c r="H74">
        <v>0</v>
      </c>
      <c r="I74">
        <v>0</v>
      </c>
    </row>
    <row r="75" ht="20" customHeight="1" spans="1:9" x14ac:dyDescent="0.25">
      <c r="A75" s="52">
        <v>64</v>
      </c>
      <c r="B75" s="53" t="s">
        <v>165</v>
      </c>
      <c r="C75" s="21">
        <v>370099.6666</v>
      </c>
      <c r="D75" s="53" t="s">
        <v>103</v>
      </c>
      <c r="E75" s="21">
        <v>17131.62</v>
      </c>
      <c r="G75">
        <v>0</v>
      </c>
      <c r="H75">
        <v>0</v>
      </c>
      <c r="I75">
        <v>0</v>
      </c>
    </row>
    <row r="76" ht="20" customHeight="1" spans="1:9" x14ac:dyDescent="0.25">
      <c r="A76" s="50">
        <v>65</v>
      </c>
      <c r="B76" s="51" t="s">
        <v>166</v>
      </c>
      <c r="C76" s="18">
        <v>379352.1345</v>
      </c>
      <c r="D76" s="51" t="s">
        <v>103</v>
      </c>
      <c r="E76" s="18">
        <v>17131.62</v>
      </c>
      <c r="G76">
        <v>0</v>
      </c>
      <c r="H76">
        <v>0</v>
      </c>
      <c r="I76">
        <v>0</v>
      </c>
    </row>
    <row r="77" ht="20" customHeight="1" spans="1:9" x14ac:dyDescent="0.25">
      <c r="A77" s="52">
        <v>66</v>
      </c>
      <c r="B77" s="53" t="s">
        <v>167</v>
      </c>
      <c r="C77" s="21">
        <v>379352.1345</v>
      </c>
      <c r="D77" s="53" t="s">
        <v>103</v>
      </c>
      <c r="E77" s="21">
        <v>17131.62</v>
      </c>
      <c r="G77">
        <v>0</v>
      </c>
      <c r="H77">
        <v>0</v>
      </c>
      <c r="I77">
        <v>0</v>
      </c>
    </row>
    <row r="78" ht="20" customHeight="1" spans="1:9" x14ac:dyDescent="0.25">
      <c r="A78" s="50">
        <v>67</v>
      </c>
      <c r="B78" s="51" t="s">
        <v>168</v>
      </c>
      <c r="C78" s="18">
        <v>379352.1345</v>
      </c>
      <c r="D78" s="51" t="s">
        <v>103</v>
      </c>
      <c r="E78" s="18">
        <v>17131.62</v>
      </c>
      <c r="G78">
        <v>0</v>
      </c>
      <c r="H78">
        <v>0</v>
      </c>
      <c r="I78">
        <v>0</v>
      </c>
    </row>
    <row r="79" ht="20" customHeight="1" spans="1:9" x14ac:dyDescent="0.25">
      <c r="A79" s="52">
        <v>68</v>
      </c>
      <c r="B79" s="53" t="s">
        <v>169</v>
      </c>
      <c r="C79" s="21">
        <v>379352.1345</v>
      </c>
      <c r="D79" s="53" t="s">
        <v>103</v>
      </c>
      <c r="E79" s="21">
        <v>17131.62</v>
      </c>
      <c r="G79">
        <v>0</v>
      </c>
      <c r="H79">
        <v>0</v>
      </c>
      <c r="I79">
        <v>0</v>
      </c>
    </row>
    <row r="80" ht="20" customHeight="1" spans="1:9" x14ac:dyDescent="0.25">
      <c r="A80" s="50">
        <v>69</v>
      </c>
      <c r="B80" s="51" t="s">
        <v>170</v>
      </c>
      <c r="C80" s="18">
        <v>379352.1345</v>
      </c>
      <c r="D80" s="51" t="s">
        <v>103</v>
      </c>
      <c r="E80" s="18">
        <v>17131.62</v>
      </c>
      <c r="G80">
        <v>0</v>
      </c>
      <c r="H80">
        <v>0</v>
      </c>
      <c r="I80">
        <v>0</v>
      </c>
    </row>
    <row r="81" ht="20" customHeight="1" spans="1:9" x14ac:dyDescent="0.25">
      <c r="A81" s="52">
        <v>70</v>
      </c>
      <c r="B81" s="53" t="s">
        <v>171</v>
      </c>
      <c r="C81" s="21">
        <v>379352.1345</v>
      </c>
      <c r="D81" s="53" t="s">
        <v>103</v>
      </c>
      <c r="E81" s="21">
        <v>17131.62</v>
      </c>
      <c r="G81">
        <v>0</v>
      </c>
      <c r="H81">
        <v>0</v>
      </c>
      <c r="I81">
        <v>0</v>
      </c>
    </row>
    <row r="82" ht="20" customHeight="1" spans="1:9" x14ac:dyDescent="0.25">
      <c r="A82" s="50">
        <v>71</v>
      </c>
      <c r="B82" s="51" t="s">
        <v>172</v>
      </c>
      <c r="C82" s="18">
        <v>379352.1345</v>
      </c>
      <c r="D82" s="51" t="s">
        <v>103</v>
      </c>
      <c r="E82" s="18">
        <v>17131.62</v>
      </c>
      <c r="G82">
        <v>0</v>
      </c>
      <c r="H82">
        <v>0</v>
      </c>
      <c r="I82">
        <v>0</v>
      </c>
    </row>
    <row r="83" ht="20" customHeight="1" spans="1:9" x14ac:dyDescent="0.25">
      <c r="A83" s="52">
        <v>72</v>
      </c>
      <c r="B83" s="53" t="s">
        <v>173</v>
      </c>
      <c r="C83" s="21">
        <v>379352.1345</v>
      </c>
      <c r="D83" s="53" t="s">
        <v>103</v>
      </c>
      <c r="E83" s="21">
        <v>17131.62</v>
      </c>
      <c r="G83">
        <v>0</v>
      </c>
      <c r="H83">
        <v>0</v>
      </c>
      <c r="I83">
        <v>0</v>
      </c>
    </row>
    <row r="84" ht="20" customHeight="1" spans="1:9" x14ac:dyDescent="0.25">
      <c r="A84" s="50">
        <v>73</v>
      </c>
      <c r="B84" s="51" t="s">
        <v>174</v>
      </c>
      <c r="C84" s="18">
        <v>379352.1345</v>
      </c>
      <c r="D84" s="51" t="s">
        <v>103</v>
      </c>
      <c r="E84" s="18">
        <v>17482.425</v>
      </c>
      <c r="G84">
        <v>0</v>
      </c>
      <c r="H84">
        <v>0</v>
      </c>
      <c r="I84">
        <v>0</v>
      </c>
    </row>
    <row r="85" ht="20" customHeight="1" spans="1:9" x14ac:dyDescent="0.25">
      <c r="A85" s="52">
        <v>74</v>
      </c>
      <c r="B85" s="53" t="s">
        <v>175</v>
      </c>
      <c r="C85" s="21">
        <v>379352.1345</v>
      </c>
      <c r="D85" s="53" t="s">
        <v>103</v>
      </c>
      <c r="E85" s="21">
        <v>17482.425</v>
      </c>
      <c r="G85">
        <v>0</v>
      </c>
      <c r="H85">
        <v>0</v>
      </c>
      <c r="I85">
        <v>0</v>
      </c>
    </row>
    <row r="86" ht="20" customHeight="1" spans="1:9" x14ac:dyDescent="0.25">
      <c r="A86" s="50">
        <v>75</v>
      </c>
      <c r="B86" s="51" t="s">
        <v>176</v>
      </c>
      <c r="C86" s="18">
        <v>379352.1345</v>
      </c>
      <c r="D86" s="51" t="s">
        <v>103</v>
      </c>
      <c r="E86" s="18">
        <v>17482.425</v>
      </c>
      <c r="G86">
        <v>0</v>
      </c>
      <c r="H86">
        <v>0</v>
      </c>
      <c r="I86">
        <v>0</v>
      </c>
    </row>
    <row r="87" ht="20" customHeight="1" spans="1:9" x14ac:dyDescent="0.25">
      <c r="A87" s="52">
        <v>76</v>
      </c>
      <c r="B87" s="53" t="s">
        <v>177</v>
      </c>
      <c r="C87" s="21">
        <v>379352.1345</v>
      </c>
      <c r="D87" s="53" t="s">
        <v>103</v>
      </c>
      <c r="E87" s="21">
        <v>17482.425</v>
      </c>
      <c r="G87">
        <v>0</v>
      </c>
      <c r="H87">
        <v>0</v>
      </c>
      <c r="I87">
        <v>0</v>
      </c>
    </row>
    <row r="88" ht="20" customHeight="1" spans="1:9" x14ac:dyDescent="0.25">
      <c r="A88" s="50">
        <v>77</v>
      </c>
      <c r="B88" s="51" t="s">
        <v>178</v>
      </c>
      <c r="C88" s="18">
        <v>388835.6276</v>
      </c>
      <c r="D88" s="51" t="s">
        <v>103</v>
      </c>
      <c r="E88" s="18">
        <v>17482.425</v>
      </c>
      <c r="G88">
        <v>0</v>
      </c>
      <c r="H88">
        <v>0</v>
      </c>
      <c r="I88">
        <v>0</v>
      </c>
    </row>
    <row r="89" ht="20" customHeight="1" spans="1:9" x14ac:dyDescent="0.25">
      <c r="A89" s="52">
        <v>78</v>
      </c>
      <c r="B89" s="53" t="s">
        <v>179</v>
      </c>
      <c r="C89" s="21">
        <v>388835.6276</v>
      </c>
      <c r="D89" s="53" t="s">
        <v>103</v>
      </c>
      <c r="E89" s="21">
        <v>17482.425</v>
      </c>
      <c r="G89">
        <v>0</v>
      </c>
      <c r="H89">
        <v>0</v>
      </c>
      <c r="I89">
        <v>0</v>
      </c>
    </row>
    <row r="90" ht="20" customHeight="1" spans="1:9" x14ac:dyDescent="0.25">
      <c r="A90" s="50">
        <v>79</v>
      </c>
      <c r="B90" s="51" t="s">
        <v>180</v>
      </c>
      <c r="C90" s="18">
        <v>388835.6276</v>
      </c>
      <c r="D90" s="51" t="s">
        <v>103</v>
      </c>
      <c r="E90" s="18">
        <v>17482.425</v>
      </c>
      <c r="G90">
        <v>0</v>
      </c>
      <c r="H90">
        <v>0</v>
      </c>
      <c r="I90">
        <v>0</v>
      </c>
    </row>
    <row r="91" ht="20" customHeight="1" spans="1:9" x14ac:dyDescent="0.25">
      <c r="A91" s="52">
        <v>80</v>
      </c>
      <c r="B91" s="53" t="s">
        <v>181</v>
      </c>
      <c r="C91" s="21">
        <v>388835.6276</v>
      </c>
      <c r="D91" s="53" t="s">
        <v>103</v>
      </c>
      <c r="E91" s="21">
        <v>17482.425</v>
      </c>
      <c r="G91">
        <v>0</v>
      </c>
      <c r="H91">
        <v>0</v>
      </c>
      <c r="I91">
        <v>0</v>
      </c>
    </row>
    <row r="92" ht="20" customHeight="1" spans="1:9" x14ac:dyDescent="0.25">
      <c r="A92" s="50">
        <v>81</v>
      </c>
      <c r="B92" s="51" t="s">
        <v>182</v>
      </c>
      <c r="C92" s="18">
        <v>388835.6276</v>
      </c>
      <c r="D92" s="51" t="s">
        <v>103</v>
      </c>
      <c r="E92" s="18">
        <v>17482.425</v>
      </c>
      <c r="G92">
        <v>0</v>
      </c>
      <c r="H92">
        <v>0</v>
      </c>
      <c r="I92">
        <v>0</v>
      </c>
    </row>
    <row r="93" ht="20" customHeight="1" spans="1:9" x14ac:dyDescent="0.25">
      <c r="A93" s="52">
        <v>82</v>
      </c>
      <c r="B93" s="53" t="s">
        <v>183</v>
      </c>
      <c r="C93" s="21">
        <v>388835.6276</v>
      </c>
      <c r="D93" s="53" t="s">
        <v>103</v>
      </c>
      <c r="E93" s="21">
        <v>17482.425</v>
      </c>
      <c r="G93">
        <v>0</v>
      </c>
      <c r="H93">
        <v>0</v>
      </c>
      <c r="I93">
        <v>0</v>
      </c>
    </row>
    <row r="94" ht="20" customHeight="1" spans="1:9" x14ac:dyDescent="0.25">
      <c r="A94" s="50">
        <v>83</v>
      </c>
      <c r="B94" s="51" t="s">
        <v>184</v>
      </c>
      <c r="C94" s="18">
        <v>388835.6276</v>
      </c>
      <c r="D94" s="51" t="s">
        <v>103</v>
      </c>
      <c r="E94" s="18">
        <v>17482.425</v>
      </c>
      <c r="G94">
        <v>0</v>
      </c>
      <c r="H94">
        <v>0</v>
      </c>
      <c r="I94">
        <v>0</v>
      </c>
    </row>
    <row r="95" ht="20" customHeight="1" spans="1:9" x14ac:dyDescent="0.25">
      <c r="A95" s="52">
        <v>84</v>
      </c>
      <c r="B95" s="53" t="s">
        <v>185</v>
      </c>
      <c r="C95" s="21">
        <v>388835.6276</v>
      </c>
      <c r="D95" s="53" t="s">
        <v>103</v>
      </c>
      <c r="E95" s="21">
        <v>17482.425</v>
      </c>
      <c r="G95">
        <v>0</v>
      </c>
      <c r="H95">
        <v>0</v>
      </c>
      <c r="I95">
        <v>0</v>
      </c>
    </row>
    <row r="96" ht="20" customHeight="1" spans="1:9" x14ac:dyDescent="0.25">
      <c r="A96" s="50">
        <v>85</v>
      </c>
      <c r="B96" s="51" t="s">
        <v>186</v>
      </c>
      <c r="C96" s="18">
        <v>388835.6276</v>
      </c>
      <c r="D96" s="51" t="s">
        <v>103</v>
      </c>
      <c r="E96" s="18">
        <v>17840.94</v>
      </c>
      <c r="G96">
        <v>0</v>
      </c>
      <c r="H96">
        <v>0</v>
      </c>
      <c r="I96">
        <v>0</v>
      </c>
    </row>
    <row r="97" ht="20" customHeight="1" spans="1:9" x14ac:dyDescent="0.25">
      <c r="A97" s="52">
        <v>86</v>
      </c>
      <c r="B97" s="53" t="s">
        <v>187</v>
      </c>
      <c r="C97" s="21">
        <v>388835.6276</v>
      </c>
      <c r="D97" s="53" t="s">
        <v>103</v>
      </c>
      <c r="E97" s="21">
        <v>17840.94</v>
      </c>
      <c r="G97">
        <v>0</v>
      </c>
      <c r="H97">
        <v>0</v>
      </c>
      <c r="I97">
        <v>0</v>
      </c>
    </row>
    <row r="98" ht="20" customHeight="1" spans="1:9" x14ac:dyDescent="0.25">
      <c r="A98" s="50">
        <v>87</v>
      </c>
      <c r="B98" s="51" t="s">
        <v>188</v>
      </c>
      <c r="C98" s="18">
        <v>388835.6276</v>
      </c>
      <c r="D98" s="51" t="s">
        <v>103</v>
      </c>
      <c r="E98" s="18">
        <v>17840.94</v>
      </c>
      <c r="G98">
        <v>0</v>
      </c>
      <c r="H98">
        <v>0</v>
      </c>
      <c r="I98">
        <v>0</v>
      </c>
    </row>
    <row r="99" ht="20" customHeight="1" spans="1:9" x14ac:dyDescent="0.25">
      <c r="A99" s="52">
        <v>88</v>
      </c>
      <c r="B99" s="53" t="s">
        <v>189</v>
      </c>
      <c r="C99" s="21">
        <v>388835.6276</v>
      </c>
      <c r="D99" s="53" t="s">
        <v>103</v>
      </c>
      <c r="E99" s="21">
        <v>17840.94</v>
      </c>
      <c r="G99">
        <v>0</v>
      </c>
      <c r="H99">
        <v>0</v>
      </c>
      <c r="I99">
        <v>0</v>
      </c>
    </row>
    <row r="100" ht="20" customHeight="1" spans="1:9" x14ac:dyDescent="0.25">
      <c r="A100" s="50">
        <v>89</v>
      </c>
      <c r="B100" s="51" t="s">
        <v>190</v>
      </c>
      <c r="C100" s="18">
        <v>398556.8285</v>
      </c>
      <c r="D100" s="51" t="s">
        <v>103</v>
      </c>
      <c r="E100" s="51" t="s">
        <v>103</v>
      </c>
      <c r="G100">
        <v>0</v>
      </c>
      <c r="H100">
        <v>0</v>
      </c>
      <c r="I100">
        <v>0</v>
      </c>
    </row>
    <row r="101" ht="20" customHeight="1" spans="1:9" x14ac:dyDescent="0.25">
      <c r="A101" s="52">
        <v>90</v>
      </c>
      <c r="B101" s="53" t="s">
        <v>191</v>
      </c>
      <c r="C101" s="21">
        <v>398556.8285</v>
      </c>
      <c r="D101" s="53" t="s">
        <v>103</v>
      </c>
      <c r="E101" s="53" t="s">
        <v>103</v>
      </c>
      <c r="G101">
        <v>0</v>
      </c>
      <c r="H101">
        <v>0</v>
      </c>
      <c r="I101">
        <v>0</v>
      </c>
    </row>
    <row r="102" ht="20" customHeight="1" spans="1:9" x14ac:dyDescent="0.25">
      <c r="A102" s="50">
        <v>91</v>
      </c>
      <c r="B102" s="51" t="s">
        <v>192</v>
      </c>
      <c r="C102" s="18">
        <v>398556.8285</v>
      </c>
      <c r="D102" s="51" t="s">
        <v>103</v>
      </c>
      <c r="E102" s="51" t="s">
        <v>103</v>
      </c>
      <c r="G102">
        <v>0</v>
      </c>
      <c r="H102">
        <v>0</v>
      </c>
      <c r="I102">
        <v>0</v>
      </c>
    </row>
    <row r="103" ht="20" customHeight="1" spans="1:9" x14ac:dyDescent="0.25">
      <c r="A103" s="52">
        <v>92</v>
      </c>
      <c r="B103" s="53" t="s">
        <v>193</v>
      </c>
      <c r="C103" s="21">
        <v>398556.8285</v>
      </c>
      <c r="D103" s="53" t="s">
        <v>103</v>
      </c>
      <c r="E103" s="53" t="s">
        <v>103</v>
      </c>
      <c r="G103">
        <v>0</v>
      </c>
      <c r="H103">
        <v>0</v>
      </c>
      <c r="I103">
        <v>0</v>
      </c>
    </row>
    <row r="104" ht="20" customHeight="1" spans="1:9" x14ac:dyDescent="0.25">
      <c r="A104" s="50">
        <v>93</v>
      </c>
      <c r="B104" s="51" t="s">
        <v>194</v>
      </c>
      <c r="C104" s="18">
        <v>398556.8285</v>
      </c>
      <c r="D104" s="51" t="s">
        <v>103</v>
      </c>
      <c r="E104" s="51" t="s">
        <v>103</v>
      </c>
      <c r="G104">
        <v>0</v>
      </c>
      <c r="H104">
        <v>0</v>
      </c>
      <c r="I104">
        <v>0</v>
      </c>
    </row>
    <row r="105" ht="20" customHeight="1" spans="1:9" x14ac:dyDescent="0.25">
      <c r="A105" s="52">
        <v>94</v>
      </c>
      <c r="B105" s="53" t="s">
        <v>195</v>
      </c>
      <c r="C105" s="21">
        <v>398556.8285</v>
      </c>
      <c r="D105" s="53" t="s">
        <v>103</v>
      </c>
      <c r="E105" s="53" t="s">
        <v>103</v>
      </c>
      <c r="G105">
        <v>0</v>
      </c>
      <c r="H105">
        <v>0</v>
      </c>
      <c r="I105">
        <v>0</v>
      </c>
    </row>
    <row r="106" ht="20" customHeight="1" spans="1:9" x14ac:dyDescent="0.25">
      <c r="A106" s="50">
        <v>95</v>
      </c>
      <c r="B106" s="51" t="s">
        <v>196</v>
      </c>
      <c r="C106" s="18">
        <v>398556.8285</v>
      </c>
      <c r="D106" s="51" t="s">
        <v>103</v>
      </c>
      <c r="E106" s="51" t="s">
        <v>103</v>
      </c>
      <c r="G106">
        <v>0</v>
      </c>
      <c r="H106">
        <v>0</v>
      </c>
      <c r="I106">
        <v>0</v>
      </c>
    </row>
    <row r="107" ht="20" customHeight="1" spans="1:9" x14ac:dyDescent="0.25">
      <c r="A107" s="52">
        <v>96</v>
      </c>
      <c r="B107" s="53" t="s">
        <v>197</v>
      </c>
      <c r="C107" s="21">
        <v>398556.8285</v>
      </c>
      <c r="D107" s="53" t="s">
        <v>103</v>
      </c>
      <c r="E107" s="53" t="s">
        <v>103</v>
      </c>
      <c r="G107">
        <v>0</v>
      </c>
      <c r="H107">
        <v>0</v>
      </c>
      <c r="I107">
        <v>0</v>
      </c>
    </row>
    <row r="108" ht="20" customHeight="1" spans="1:9" x14ac:dyDescent="0.25">
      <c r="A108" s="50">
        <v>97</v>
      </c>
      <c r="B108" s="51" t="s">
        <v>198</v>
      </c>
      <c r="C108" s="18">
        <v>398556.8285</v>
      </c>
      <c r="D108" s="51" t="s">
        <v>103</v>
      </c>
      <c r="E108" s="51" t="s">
        <v>103</v>
      </c>
      <c r="G108">
        <v>0</v>
      </c>
      <c r="H108">
        <v>0</v>
      </c>
      <c r="I108">
        <v>0</v>
      </c>
    </row>
    <row r="109" ht="20" customHeight="1" spans="1:9" x14ac:dyDescent="0.25">
      <c r="A109" s="52">
        <v>98</v>
      </c>
      <c r="B109" s="53" t="s">
        <v>199</v>
      </c>
      <c r="C109" s="21">
        <v>398556.8285</v>
      </c>
      <c r="D109" s="53" t="s">
        <v>103</v>
      </c>
      <c r="E109" s="53" t="s">
        <v>103</v>
      </c>
      <c r="G109">
        <v>0</v>
      </c>
      <c r="H109">
        <v>0</v>
      </c>
      <c r="I109">
        <v>0</v>
      </c>
    </row>
    <row r="110" ht="20" customHeight="1" spans="1:9" x14ac:dyDescent="0.25">
      <c r="A110" s="50">
        <v>99</v>
      </c>
      <c r="B110" s="51" t="s">
        <v>200</v>
      </c>
      <c r="C110" s="18">
        <v>398556.8285</v>
      </c>
      <c r="D110" s="51" t="s">
        <v>103</v>
      </c>
      <c r="E110" s="51" t="s">
        <v>103</v>
      </c>
      <c r="G110">
        <v>0</v>
      </c>
      <c r="H110">
        <v>0</v>
      </c>
      <c r="I110">
        <v>0</v>
      </c>
    </row>
    <row r="111" ht="20" customHeight="1" spans="1:9" x14ac:dyDescent="0.25">
      <c r="A111" s="52">
        <v>100</v>
      </c>
      <c r="B111" s="53" t="s">
        <v>201</v>
      </c>
      <c r="C111" s="21">
        <v>398556.8285</v>
      </c>
      <c r="D111" s="53" t="s">
        <v>103</v>
      </c>
      <c r="E111" s="53" t="s">
        <v>103</v>
      </c>
      <c r="G111">
        <v>0</v>
      </c>
      <c r="H111">
        <v>0</v>
      </c>
      <c r="I111">
        <v>0</v>
      </c>
    </row>
    <row r="112" ht="20" customHeight="1" spans="1:9" x14ac:dyDescent="0.25">
      <c r="A112" s="50">
        <v>101</v>
      </c>
      <c r="B112" s="51" t="s">
        <v>202</v>
      </c>
      <c r="C112" s="18">
        <v>408520.5106</v>
      </c>
      <c r="D112" s="51" t="s">
        <v>103</v>
      </c>
      <c r="E112" s="51" t="s">
        <v>103</v>
      </c>
      <c r="G112">
        <v>0</v>
      </c>
      <c r="H112">
        <v>0</v>
      </c>
      <c r="I112">
        <v>0</v>
      </c>
    </row>
    <row r="113" ht="20" customHeight="1" spans="1:9" x14ac:dyDescent="0.25">
      <c r="A113" s="52">
        <v>102</v>
      </c>
      <c r="B113" s="53" t="s">
        <v>203</v>
      </c>
      <c r="C113" s="21">
        <v>408520.5106</v>
      </c>
      <c r="D113" s="53" t="s">
        <v>103</v>
      </c>
      <c r="E113" s="53" t="s">
        <v>103</v>
      </c>
      <c r="G113">
        <v>0</v>
      </c>
      <c r="H113">
        <v>0</v>
      </c>
      <c r="I113">
        <v>0</v>
      </c>
    </row>
    <row r="114" ht="20" customHeight="1" spans="1:9" x14ac:dyDescent="0.25">
      <c r="A114" s="50">
        <v>103</v>
      </c>
      <c r="B114" s="51" t="s">
        <v>204</v>
      </c>
      <c r="C114" s="18">
        <v>408520.5106</v>
      </c>
      <c r="D114" s="51" t="s">
        <v>103</v>
      </c>
      <c r="E114" s="51" t="s">
        <v>103</v>
      </c>
      <c r="G114">
        <v>0</v>
      </c>
      <c r="H114">
        <v>0</v>
      </c>
      <c r="I114">
        <v>0</v>
      </c>
    </row>
    <row r="115" ht="20" customHeight="1" spans="1:9" x14ac:dyDescent="0.25">
      <c r="A115" s="52">
        <v>104</v>
      </c>
      <c r="B115" s="53" t="s">
        <v>205</v>
      </c>
      <c r="C115" s="21">
        <v>408520.5106</v>
      </c>
      <c r="D115" s="53" t="s">
        <v>103</v>
      </c>
      <c r="E115" s="53" t="s">
        <v>103</v>
      </c>
      <c r="G115">
        <v>0</v>
      </c>
      <c r="H115">
        <v>0</v>
      </c>
      <c r="I115">
        <v>0</v>
      </c>
    </row>
    <row r="116" ht="20" customHeight="1" spans="1:9" x14ac:dyDescent="0.25">
      <c r="A116" s="50">
        <v>105</v>
      </c>
      <c r="B116" s="51" t="s">
        <v>206</v>
      </c>
      <c r="C116" s="18">
        <v>408520.5106</v>
      </c>
      <c r="D116" s="51" t="s">
        <v>103</v>
      </c>
      <c r="E116" s="51" t="s">
        <v>103</v>
      </c>
      <c r="G116">
        <v>0</v>
      </c>
      <c r="H116">
        <v>0</v>
      </c>
      <c r="I116">
        <v>0</v>
      </c>
    </row>
    <row r="117" ht="20" customHeight="1" spans="1:5" x14ac:dyDescent="0.25">
      <c r="A117" s="54" t="s">
        <v>1</v>
      </c>
      <c r="B117" s="55" t="s">
        <v>207</v>
      </c>
      <c r="C117" s="56">
        <f>SUM(C7,C10,C12:C116)</f>
      </c>
      <c r="D117" s="56">
        <f>SUM(D7,D10,D12:D116)</f>
      </c>
      <c r="E117" s="56">
        <f>SUM(E7,E10,E12:E116)</f>
      </c>
    </row>
  </sheetData>
  <mergeCells count="2">
    <mergeCell ref="A1:E2"/>
    <mergeCell ref="B3:D4"/>
  </mergeCells>
  <pageMargins left="0.25" right="0.25" top="0.45" bottom="0.45" header="0.2" footer="0.2"/>
  <pageSetup paperSize="1" orientation="portrait" horizontalDpi="4294967295" verticalDpi="4294967295" scale="100" fitToWidth="1" fitToHeight="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1"/>
  <sheetViews>
    <sheetView workbookViewId="0" showGridLines="0" zoomScale="100" view="pageBreakPreview"/>
  </sheetViews>
  <sheetFormatPr defaultRowHeight="15" outlineLevelRow="0" outlineLevelCol="0" x14ac:dyDescent="55"/>
  <cols>
    <col min="1" max="1" width="10" customWidth="1"/>
    <col min="2" max="2" width="24" customWidth="1"/>
    <col min="3" max="6" width="14" customWidth="1"/>
    <col min="7" max="9" width="16" customWidth="1"/>
  </cols>
  <sheetData>
    <row r="1" ht="20" customHeight="1" spans="1:9" x14ac:dyDescent="0.25">
      <c r="A1" s="23" t="s">
        <v>208</v>
      </c>
      <c r="B1" s="23"/>
      <c r="C1" s="23"/>
      <c r="D1" s="23"/>
      <c r="E1" s="23"/>
      <c r="F1" s="23"/>
      <c r="G1" s="23"/>
      <c r="H1" s="23"/>
      <c r="I1" s="23"/>
    </row>
    <row r="2" ht="20" customHeight="1" spans="1:9" x14ac:dyDescent="0.25">
      <c r="A2" s="23"/>
      <c r="B2" s="23"/>
      <c r="C2" s="23"/>
      <c r="D2" s="23"/>
      <c r="E2" s="23"/>
      <c r="F2" s="23"/>
      <c r="G2" s="23"/>
      <c r="H2" s="23"/>
      <c r="I2" s="23"/>
    </row>
    <row r="3" ht="22" customHeight="1" spans="4:6" x14ac:dyDescent="0.25">
      <c r="D3" s="24" t="s">
        <v>22</v>
      </c>
      <c r="E3" s="24"/>
      <c r="F3" s="24"/>
    </row>
    <row r="4" ht="22" customHeight="1" spans="1:9" x14ac:dyDescent="0.25">
      <c r="A4" s="2"/>
      <c r="B4" s="2"/>
      <c r="C4" s="2"/>
      <c r="D4" s="24"/>
      <c r="E4" s="24"/>
      <c r="F4" s="24"/>
      <c r="G4" s="2"/>
      <c r="H4" s="2"/>
      <c r="I4" s="2"/>
    </row>
    <row r="6" ht="84" customHeight="1" spans="1:9" x14ac:dyDescent="0.25">
      <c r="A6" s="57" t="s">
        <v>209</v>
      </c>
      <c r="B6" s="57"/>
      <c r="C6" s="57"/>
      <c r="D6" s="57"/>
      <c r="E6" s="57"/>
      <c r="F6" s="57"/>
      <c r="G6" s="57"/>
      <c r="H6" s="57"/>
      <c r="I6" s="57"/>
    </row>
    <row r="7" ht="20" customHeight="1" x14ac:dyDescent="0.25"/>
    <row r="8" ht="20" customHeight="1" spans="1:9" x14ac:dyDescent="0.25">
      <c r="A8" s="42" t="s">
        <v>89</v>
      </c>
      <c r="B8" s="42" t="s">
        <v>90</v>
      </c>
      <c r="C8" s="42" t="s">
        <v>210</v>
      </c>
      <c r="D8" s="42" t="s">
        <v>211</v>
      </c>
      <c r="E8" s="42" t="s">
        <v>212</v>
      </c>
      <c r="F8" s="42" t="s">
        <v>213</v>
      </c>
      <c r="G8" s="42" t="s">
        <v>214</v>
      </c>
      <c r="H8" s="42" t="s">
        <v>215</v>
      </c>
      <c r="I8" s="42" t="s">
        <v>216</v>
      </c>
    </row>
    <row r="9" ht="20" customHeight="1" spans="1:9" x14ac:dyDescent="0.25">
      <c r="A9" s="58">
        <v>0</v>
      </c>
      <c r="B9" s="59" t="s">
        <v>94</v>
      </c>
      <c r="C9" s="60">
        <v>0</v>
      </c>
      <c r="D9" s="60">
        <v>0</v>
      </c>
      <c r="E9" s="60">
        <v>0</v>
      </c>
      <c r="F9" s="60">
        <v>0</v>
      </c>
      <c r="G9" s="60">
        <f>SUM(C9:F9)</f>
        <v>0</v>
      </c>
      <c r="H9" s="60">
        <f>G9</f>
        <v>0</v>
      </c>
      <c r="I9" s="60">
        <f>IFERROR(G9/POWER(1+0.00643403011,A9),0)</f>
        <v>0</v>
      </c>
    </row>
    <row r="10" ht="20" customHeight="1" spans="1:9" x14ac:dyDescent="0.25">
      <c r="A10" s="61" t="s">
        <v>95</v>
      </c>
      <c r="B10" s="62" t="s">
        <v>96</v>
      </c>
      <c r="C10" s="63">
        <v>0</v>
      </c>
      <c r="D10" s="63">
        <v>0</v>
      </c>
      <c r="E10" s="63">
        <v>0</v>
      </c>
      <c r="F10" s="63">
        <v>0</v>
      </c>
      <c r="G10" s="63">
        <f>SUM(C10:F10)</f>
        <v>0</v>
      </c>
      <c r="H10" s="63">
        <f>H9+G10</f>
        <v>0</v>
      </c>
      <c r="I10" s="63">
        <f>G10</f>
        <v>0</v>
      </c>
    </row>
    <row r="11" ht="28" customHeight="1" spans="1:9" x14ac:dyDescent="0.25">
      <c r="A11" s="61" t="s">
        <v>97</v>
      </c>
      <c r="B11" s="62" t="s">
        <v>98</v>
      </c>
      <c r="C11" s="63">
        <v>0</v>
      </c>
      <c r="D11" s="63">
        <v>0</v>
      </c>
      <c r="E11" s="63">
        <v>0</v>
      </c>
      <c r="F11" s="64">
        <v>0</v>
      </c>
      <c r="G11" s="64">
        <f>SUM(C11:F11)</f>
        <v>0</v>
      </c>
      <c r="H11" s="64">
        <f>H10+G11</f>
        <v>0</v>
      </c>
      <c r="I11" s="64">
        <f>G11</f>
        <v>0</v>
      </c>
    </row>
    <row r="12" ht="20" customHeight="1" spans="1:9" x14ac:dyDescent="0.25">
      <c r="A12" s="65">
        <v>1</v>
      </c>
      <c r="B12" s="66" t="s">
        <v>37</v>
      </c>
      <c r="C12" s="67">
        <v>0</v>
      </c>
      <c r="D12" s="67">
        <v>0</v>
      </c>
      <c r="E12" s="67">
        <v>0</v>
      </c>
      <c r="F12" s="67">
        <v>0</v>
      </c>
      <c r="G12" s="67">
        <f>SUM(C12:F12)</f>
        <v>0</v>
      </c>
      <c r="H12" s="67">
        <f>H11+G12</f>
        <v>0</v>
      </c>
      <c r="I12" s="67">
        <f>IFERROR(G12/POWER(1+0.00643403011,A12),0)</f>
        <v>0</v>
      </c>
    </row>
    <row r="13" ht="20" customHeight="1" spans="1:9" x14ac:dyDescent="0.25">
      <c r="A13" s="68">
        <v>2</v>
      </c>
      <c r="B13" s="69" t="s">
        <v>119</v>
      </c>
      <c r="C13" s="63">
        <v>0</v>
      </c>
      <c r="D13" s="63">
        <v>0</v>
      </c>
      <c r="E13" s="63">
        <v>0</v>
      </c>
      <c r="F13" s="63">
        <v>0</v>
      </c>
      <c r="G13" s="63">
        <f>SUM(C13:F13)</f>
        <v>0</v>
      </c>
      <c r="H13" s="63">
        <f>H12+G13</f>
        <v>0</v>
      </c>
      <c r="I13" s="63">
        <f>IFERROR(G13/POWER(1+0.00643403011,A13),0)</f>
        <v>0</v>
      </c>
    </row>
    <row r="14" ht="20" customHeight="1" spans="1:9" x14ac:dyDescent="0.25">
      <c r="A14" s="65">
        <v>3</v>
      </c>
      <c r="B14" s="66" t="s">
        <v>120</v>
      </c>
      <c r="C14" s="67">
        <v>0</v>
      </c>
      <c r="D14" s="67">
        <v>0</v>
      </c>
      <c r="E14" s="67">
        <v>0</v>
      </c>
      <c r="F14" s="67">
        <v>0</v>
      </c>
      <c r="G14" s="67">
        <f>SUM(C14:F14)</f>
        <v>0</v>
      </c>
      <c r="H14" s="67">
        <f>H13+G14</f>
        <v>0</v>
      </c>
      <c r="I14" s="67">
        <f>IFERROR(G14/POWER(1+0.00643403011,A14),0)</f>
        <v>0</v>
      </c>
    </row>
    <row r="15" ht="20" customHeight="1" spans="1:9" x14ac:dyDescent="0.25">
      <c r="A15" s="68">
        <v>4</v>
      </c>
      <c r="B15" s="69" t="s">
        <v>121</v>
      </c>
      <c r="C15" s="63">
        <v>0</v>
      </c>
      <c r="D15" s="63">
        <v>0</v>
      </c>
      <c r="E15" s="63">
        <v>0</v>
      </c>
      <c r="F15" s="63">
        <v>0</v>
      </c>
      <c r="G15" s="63">
        <f>SUM(C15:F15)</f>
        <v>0</v>
      </c>
      <c r="H15" s="63">
        <f>H14+G15</f>
        <v>0</v>
      </c>
      <c r="I15" s="63">
        <f>IFERROR(G15/POWER(1+0.00643403011,A15),0)</f>
        <v>0</v>
      </c>
    </row>
    <row r="16" ht="20" customHeight="1" spans="1:9" x14ac:dyDescent="0.25">
      <c r="A16" s="65">
        <v>5</v>
      </c>
      <c r="B16" s="66" t="s">
        <v>122</v>
      </c>
      <c r="C16" s="67">
        <v>0</v>
      </c>
      <c r="D16" s="67">
        <v>0</v>
      </c>
      <c r="E16" s="67">
        <v>0</v>
      </c>
      <c r="F16" s="67">
        <v>0</v>
      </c>
      <c r="G16" s="67">
        <f>SUM(C16:F16)</f>
        <v>0</v>
      </c>
      <c r="H16" s="67">
        <f>H15+G16</f>
        <v>0</v>
      </c>
      <c r="I16" s="67">
        <f>IFERROR(G16/POWER(1+0.00643403011,A16),0)</f>
        <v>0</v>
      </c>
    </row>
    <row r="17" ht="20" customHeight="1" spans="1:9" x14ac:dyDescent="0.25">
      <c r="A17" s="68">
        <v>6</v>
      </c>
      <c r="B17" s="69" t="s">
        <v>123</v>
      </c>
      <c r="C17" s="63">
        <v>343674</v>
      </c>
      <c r="D17" s="63">
        <v>0</v>
      </c>
      <c r="E17" s="63">
        <v>0</v>
      </c>
      <c r="F17" s="63">
        <v>0</v>
      </c>
      <c r="G17" s="63">
        <f>SUM(C17:F17)</f>
        <v>343674</v>
      </c>
      <c r="H17" s="63">
        <f>H16+G17</f>
        <v>343674</v>
      </c>
      <c r="I17" s="63">
        <f>IFERROR(G17/POWER(1+0.00643403011,A17),0)</f>
        <v>330700.460689</v>
      </c>
    </row>
    <row r="18" ht="20" customHeight="1" spans="1:9" x14ac:dyDescent="0.25">
      <c r="A18" s="65">
        <v>7</v>
      </c>
      <c r="B18" s="66" t="s">
        <v>124</v>
      </c>
      <c r="C18" s="67">
        <v>343674</v>
      </c>
      <c r="D18" s="67">
        <v>0</v>
      </c>
      <c r="E18" s="67">
        <v>0</v>
      </c>
      <c r="F18" s="67">
        <v>0</v>
      </c>
      <c r="G18" s="67">
        <f>SUM(C18:F18)</f>
        <v>343674</v>
      </c>
      <c r="H18" s="67">
        <f>H17+G18</f>
        <v>687348</v>
      </c>
      <c r="I18" s="67">
        <f>IFERROR(G18/POWER(1+0.00643403011,A18),0)</f>
        <v>328586.326372</v>
      </c>
    </row>
    <row r="19" ht="20" customHeight="1" spans="1:9" x14ac:dyDescent="0.25">
      <c r="A19" s="68">
        <v>8</v>
      </c>
      <c r="B19" s="69" t="s">
        <v>125</v>
      </c>
      <c r="C19" s="63">
        <v>343674</v>
      </c>
      <c r="D19" s="63">
        <v>0</v>
      </c>
      <c r="E19" s="63">
        <v>0</v>
      </c>
      <c r="F19" s="63">
        <v>0</v>
      </c>
      <c r="G19" s="63">
        <f>SUM(C19:F19)</f>
        <v>343674</v>
      </c>
      <c r="H19" s="63">
        <f>H18+G19</f>
        <v>1031022</v>
      </c>
      <c r="I19" s="63">
        <f>IFERROR(G19/POWER(1+0.00643403011,A19),0)</f>
        <v>326485.707499</v>
      </c>
    </row>
    <row r="20" ht="20" customHeight="1" spans="1:9" x14ac:dyDescent="0.25">
      <c r="A20" s="65">
        <v>9</v>
      </c>
      <c r="B20" s="66" t="s">
        <v>126</v>
      </c>
      <c r="C20" s="67">
        <v>343674</v>
      </c>
      <c r="D20" s="67">
        <v>0</v>
      </c>
      <c r="E20" s="67">
        <v>0</v>
      </c>
      <c r="F20" s="67">
        <v>0</v>
      </c>
      <c r="G20" s="67">
        <f>SUM(C20:F20)</f>
        <v>343674</v>
      </c>
      <c r="H20" s="67">
        <f>H19+G20</f>
        <v>1374696</v>
      </c>
      <c r="I20" s="67">
        <f>IFERROR(G20/POWER(1+0.00643403011,A20),0)</f>
        <v>324398.517669</v>
      </c>
    </row>
    <row r="21" ht="20" customHeight="1" spans="1:9" x14ac:dyDescent="0.25">
      <c r="A21" s="68">
        <v>10</v>
      </c>
      <c r="B21" s="69" t="s">
        <v>127</v>
      </c>
      <c r="C21" s="63">
        <v>343674</v>
      </c>
      <c r="D21" s="63">
        <v>0</v>
      </c>
      <c r="E21" s="63">
        <v>0</v>
      </c>
      <c r="F21" s="63">
        <v>0</v>
      </c>
      <c r="G21" s="63">
        <f>SUM(C21:F21)</f>
        <v>343674</v>
      </c>
      <c r="H21" s="63">
        <f>H20+G21</f>
        <v>1718370</v>
      </c>
      <c r="I21" s="63">
        <f>IFERROR(G21/POWER(1+0.00643403011,A21),0)</f>
        <v>322324.67103</v>
      </c>
    </row>
    <row r="22" ht="20" customHeight="1" spans="1:9" x14ac:dyDescent="0.25">
      <c r="A22" s="65">
        <v>11</v>
      </c>
      <c r="B22" s="66" t="s">
        <v>128</v>
      </c>
      <c r="C22" s="67">
        <v>343674</v>
      </c>
      <c r="D22" s="67">
        <v>0</v>
      </c>
      <c r="E22" s="67">
        <v>0</v>
      </c>
      <c r="F22" s="67">
        <v>0</v>
      </c>
      <c r="G22" s="67">
        <f>SUM(C22:F22)</f>
        <v>343674</v>
      </c>
      <c r="H22" s="67">
        <f>H21+G22</f>
        <v>2062044</v>
      </c>
      <c r="I22" s="67">
        <f>IFERROR(G22/POWER(1+0.00643403011,A22),0)</f>
        <v>320264.082282</v>
      </c>
    </row>
    <row r="23" ht="20" customHeight="1" spans="1:9" x14ac:dyDescent="0.25">
      <c r="A23" s="68">
        <v>12</v>
      </c>
      <c r="B23" s="69" t="s">
        <v>129</v>
      </c>
      <c r="C23" s="63">
        <v>343674</v>
      </c>
      <c r="D23" s="63">
        <v>0</v>
      </c>
      <c r="E23" s="63">
        <v>0</v>
      </c>
      <c r="F23" s="63">
        <v>0</v>
      </c>
      <c r="G23" s="63">
        <f>SUM(C23:F23)</f>
        <v>343674</v>
      </c>
      <c r="H23" s="63">
        <f>H22+G23</f>
        <v>2405718</v>
      </c>
      <c r="I23" s="63">
        <f>IFERROR(G23/POWER(1+0.00643403011,A23),0)</f>
        <v>318216.666667</v>
      </c>
    </row>
    <row r="24" ht="20" customHeight="1" spans="1:9" x14ac:dyDescent="0.25">
      <c r="A24" s="65">
        <v>13</v>
      </c>
      <c r="B24" s="66" t="s">
        <v>130</v>
      </c>
      <c r="C24" s="67">
        <v>352265.85</v>
      </c>
      <c r="D24" s="67">
        <v>0</v>
      </c>
      <c r="E24" s="67">
        <v>0</v>
      </c>
      <c r="F24" s="67">
        <v>0</v>
      </c>
      <c r="G24" s="67">
        <f>SUM(C24:F24)</f>
        <v>352265.85</v>
      </c>
      <c r="H24" s="67">
        <f>H23+G24</f>
        <v>2757983.85</v>
      </c>
      <c r="I24" s="67">
        <f>IFERROR(G24/POWER(1+0.00643403011,A24),0)</f>
        <v>324086.89847</v>
      </c>
    </row>
    <row r="25" ht="20" customHeight="1" spans="1:9" x14ac:dyDescent="0.25">
      <c r="A25" s="68">
        <v>14</v>
      </c>
      <c r="B25" s="69" t="s">
        <v>131</v>
      </c>
      <c r="C25" s="63">
        <v>352265.85</v>
      </c>
      <c r="D25" s="63">
        <v>0</v>
      </c>
      <c r="E25" s="63">
        <v>0</v>
      </c>
      <c r="F25" s="63">
        <v>0</v>
      </c>
      <c r="G25" s="63">
        <f>SUM(C25:F25)</f>
        <v>352265.85</v>
      </c>
      <c r="H25" s="63">
        <f>H24+G25</f>
        <v>3110249.7</v>
      </c>
      <c r="I25" s="63">
        <f>IFERROR(G25/POWER(1+0.00643403011,A25),0)</f>
        <v>322015.043981</v>
      </c>
    </row>
    <row r="26" ht="20" customHeight="1" spans="1:9" x14ac:dyDescent="0.25">
      <c r="A26" s="65">
        <v>15</v>
      </c>
      <c r="B26" s="66" t="s">
        <v>132</v>
      </c>
      <c r="C26" s="67">
        <v>352265.85</v>
      </c>
      <c r="D26" s="67">
        <v>0</v>
      </c>
      <c r="E26" s="67">
        <v>0</v>
      </c>
      <c r="F26" s="67">
        <v>0</v>
      </c>
      <c r="G26" s="67">
        <f>SUM(C26:F26)</f>
        <v>352265.85</v>
      </c>
      <c r="H26" s="67">
        <f>H25+G26</f>
        <v>3462515.55</v>
      </c>
      <c r="I26" s="67">
        <f>IFERROR(G26/POWER(1+0.00643403011,A26),0)</f>
        <v>319956.434647</v>
      </c>
    </row>
    <row r="27" ht="20" customHeight="1" spans="1:9" x14ac:dyDescent="0.25">
      <c r="A27" s="68">
        <v>16</v>
      </c>
      <c r="B27" s="69" t="s">
        <v>133</v>
      </c>
      <c r="C27" s="63">
        <v>352265.85</v>
      </c>
      <c r="D27" s="63">
        <v>0</v>
      </c>
      <c r="E27" s="63">
        <v>0</v>
      </c>
      <c r="F27" s="63">
        <v>0</v>
      </c>
      <c r="G27" s="63">
        <f>SUM(C27:F27)</f>
        <v>352265.85</v>
      </c>
      <c r="H27" s="63">
        <f>H26+G27</f>
        <v>3814781.4</v>
      </c>
      <c r="I27" s="63">
        <f>IFERROR(G27/POWER(1+0.00643403011,A27),0)</f>
        <v>317910.985792</v>
      </c>
    </row>
    <row r="28" ht="20" customHeight="1" spans="1:9" x14ac:dyDescent="0.25">
      <c r="A28" s="65">
        <v>17</v>
      </c>
      <c r="B28" s="66" t="s">
        <v>134</v>
      </c>
      <c r="C28" s="67">
        <v>352265.85</v>
      </c>
      <c r="D28" s="67">
        <v>0</v>
      </c>
      <c r="E28" s="67">
        <v>0</v>
      </c>
      <c r="F28" s="67">
        <v>0</v>
      </c>
      <c r="G28" s="67">
        <f>SUM(C28:F28)</f>
        <v>352265.85</v>
      </c>
      <c r="H28" s="67">
        <f>H27+G28</f>
        <v>4167047.25</v>
      </c>
      <c r="I28" s="67">
        <f>IFERROR(G28/POWER(1+0.00643403011,A28),0)</f>
        <v>315878.613283</v>
      </c>
    </row>
    <row r="29" ht="20" customHeight="1" spans="1:9" x14ac:dyDescent="0.25">
      <c r="A29" s="68">
        <v>18</v>
      </c>
      <c r="B29" s="69" t="s">
        <v>135</v>
      </c>
      <c r="C29" s="63">
        <v>352265.85</v>
      </c>
      <c r="D29" s="63">
        <v>0</v>
      </c>
      <c r="E29" s="63">
        <v>0</v>
      </c>
      <c r="F29" s="63">
        <v>0</v>
      </c>
      <c r="G29" s="63">
        <f>SUM(C29:F29)</f>
        <v>352265.85</v>
      </c>
      <c r="H29" s="63">
        <f>H28+G29</f>
        <v>4519313.1</v>
      </c>
      <c r="I29" s="63">
        <f>IFERROR(G29/POWER(1+0.00643403011,A29),0)</f>
        <v>313859.233524</v>
      </c>
    </row>
    <row r="30" ht="20" customHeight="1" spans="1:9" x14ac:dyDescent="0.25">
      <c r="A30" s="65">
        <v>19</v>
      </c>
      <c r="B30" s="66" t="s">
        <v>136</v>
      </c>
      <c r="C30" s="67">
        <v>352265.85</v>
      </c>
      <c r="D30" s="67">
        <v>0</v>
      </c>
      <c r="E30" s="67">
        <v>0</v>
      </c>
      <c r="F30" s="67">
        <v>0</v>
      </c>
      <c r="G30" s="67">
        <f>SUM(C30:F30)</f>
        <v>352265.85</v>
      </c>
      <c r="H30" s="67">
        <f>H29+G30</f>
        <v>4871578.95</v>
      </c>
      <c r="I30" s="67">
        <f>IFERROR(G30/POWER(1+0.00643403011,A30),0)</f>
        <v>311852.763454</v>
      </c>
    </row>
    <row r="31" ht="20" customHeight="1" spans="1:9" x14ac:dyDescent="0.25">
      <c r="A31" s="68">
        <v>20</v>
      </c>
      <c r="B31" s="69" t="s">
        <v>137</v>
      </c>
      <c r="C31" s="63">
        <v>352265.85</v>
      </c>
      <c r="D31" s="63">
        <v>0</v>
      </c>
      <c r="E31" s="63">
        <v>0</v>
      </c>
      <c r="F31" s="63">
        <v>0</v>
      </c>
      <c r="G31" s="63">
        <f>SUM(C31:F31)</f>
        <v>352265.85</v>
      </c>
      <c r="H31" s="63">
        <f>H30+G31</f>
        <v>5223844.8</v>
      </c>
      <c r="I31" s="63">
        <f>IFERROR(G31/POWER(1+0.00643403011,A31),0)</f>
        <v>309859.120543</v>
      </c>
    </row>
    <row r="32" ht="20" customHeight="1" spans="1:9" x14ac:dyDescent="0.25">
      <c r="A32" s="65">
        <v>21</v>
      </c>
      <c r="B32" s="66" t="s">
        <v>138</v>
      </c>
      <c r="C32" s="67">
        <v>352265.85</v>
      </c>
      <c r="D32" s="67">
        <v>0</v>
      </c>
      <c r="E32" s="67">
        <v>0</v>
      </c>
      <c r="F32" s="67">
        <v>0</v>
      </c>
      <c r="G32" s="67">
        <f>SUM(C32:F32)</f>
        <v>352265.85</v>
      </c>
      <c r="H32" s="67">
        <f>H31+G32</f>
        <v>5576110.65</v>
      </c>
      <c r="I32" s="67">
        <f>IFERROR(G32/POWER(1+0.00643403011,A32),0)</f>
        <v>307878.222787</v>
      </c>
    </row>
    <row r="33" ht="20" customHeight="1" spans="1:9" x14ac:dyDescent="0.25">
      <c r="A33" s="68">
        <v>22</v>
      </c>
      <c r="B33" s="69" t="s">
        <v>139</v>
      </c>
      <c r="C33" s="63">
        <v>352265.85</v>
      </c>
      <c r="D33" s="63">
        <v>0</v>
      </c>
      <c r="E33" s="63">
        <v>0</v>
      </c>
      <c r="F33" s="63">
        <v>0</v>
      </c>
      <c r="G33" s="63">
        <f>SUM(C33:F33)</f>
        <v>352265.85</v>
      </c>
      <c r="H33" s="63">
        <f>H32+G33</f>
        <v>5928376.5</v>
      </c>
      <c r="I33" s="63">
        <f>IFERROR(G33/POWER(1+0.00643403011,A33),0)</f>
        <v>305909.988709</v>
      </c>
    </row>
    <row r="34" ht="20" customHeight="1" spans="1:9" x14ac:dyDescent="0.25">
      <c r="A34" s="65">
        <v>23</v>
      </c>
      <c r="B34" s="66" t="s">
        <v>140</v>
      </c>
      <c r="C34" s="67">
        <v>352265.85</v>
      </c>
      <c r="D34" s="67">
        <v>0</v>
      </c>
      <c r="E34" s="67">
        <v>0</v>
      </c>
      <c r="F34" s="67">
        <v>0</v>
      </c>
      <c r="G34" s="67">
        <f>SUM(C34:F34)</f>
        <v>352265.85</v>
      </c>
      <c r="H34" s="67">
        <f>H33+G34</f>
        <v>6280642.35</v>
      </c>
      <c r="I34" s="67">
        <f>IFERROR(G34/POWER(1+0.00643403011,A34),0)</f>
        <v>303954.337351</v>
      </c>
    </row>
    <row r="35" ht="20" customHeight="1" spans="1:9" x14ac:dyDescent="0.25">
      <c r="A35" s="68">
        <v>24</v>
      </c>
      <c r="B35" s="69" t="s">
        <v>141</v>
      </c>
      <c r="C35" s="63">
        <v>352265.85</v>
      </c>
      <c r="D35" s="63">
        <v>0</v>
      </c>
      <c r="E35" s="63">
        <v>0</v>
      </c>
      <c r="F35" s="63">
        <v>0</v>
      </c>
      <c r="G35" s="63">
        <f>SUM(C35:F35)</f>
        <v>352265.85</v>
      </c>
      <c r="H35" s="63">
        <f>H34+G35</f>
        <v>6632908.2</v>
      </c>
      <c r="I35" s="63">
        <f>IFERROR(G35/POWER(1+0.00643403011,A35),0)</f>
        <v>302011.188272</v>
      </c>
    </row>
    <row r="36" ht="20" customHeight="1" spans="1:9" x14ac:dyDescent="0.25">
      <c r="A36" s="65">
        <v>25</v>
      </c>
      <c r="B36" s="66" t="s">
        <v>142</v>
      </c>
      <c r="C36" s="67">
        <v>361072.4963</v>
      </c>
      <c r="D36" s="67">
        <v>0</v>
      </c>
      <c r="E36" s="67">
        <v>0</v>
      </c>
      <c r="F36" s="67">
        <v>0</v>
      </c>
      <c r="G36" s="67">
        <f>SUM(C36:F36)</f>
        <v>361072.49625</v>
      </c>
      <c r="H36" s="67">
        <f>H35+G36</f>
        <v>6993980.69625</v>
      </c>
      <c r="I36" s="67">
        <f>IFERROR(G36/POWER(1+0.00643403011,A36),0)</f>
        <v>307582.473085</v>
      </c>
    </row>
    <row r="37" ht="20" customHeight="1" spans="1:9" x14ac:dyDescent="0.25">
      <c r="A37" s="68">
        <v>26</v>
      </c>
      <c r="B37" s="69" t="s">
        <v>143</v>
      </c>
      <c r="C37" s="63">
        <v>361072.4963</v>
      </c>
      <c r="D37" s="63">
        <v>0</v>
      </c>
      <c r="E37" s="63">
        <v>0</v>
      </c>
      <c r="F37" s="63">
        <v>0</v>
      </c>
      <c r="G37" s="63">
        <f>SUM(C37:F37)</f>
        <v>361072.49625</v>
      </c>
      <c r="H37" s="63">
        <f>H36+G37</f>
        <v>7355053.1925</v>
      </c>
      <c r="I37" s="63">
        <f>IFERROR(G37/POWER(1+0.00643403011,A37),0)</f>
        <v>305616.129705</v>
      </c>
    </row>
    <row r="38" ht="20" customHeight="1" spans="1:9" x14ac:dyDescent="0.25">
      <c r="A38" s="65">
        <v>27</v>
      </c>
      <c r="B38" s="66" t="s">
        <v>144</v>
      </c>
      <c r="C38" s="67">
        <v>361072.4963</v>
      </c>
      <c r="D38" s="67">
        <v>0</v>
      </c>
      <c r="E38" s="67">
        <v>0</v>
      </c>
      <c r="F38" s="67">
        <v>0</v>
      </c>
      <c r="G38" s="67">
        <f>SUM(C38:F38)</f>
        <v>361072.49625</v>
      </c>
      <c r="H38" s="67">
        <f>H37+G38</f>
        <v>7716125.68875</v>
      </c>
      <c r="I38" s="67">
        <f>IFERROR(G38/POWER(1+0.00643403011,A38),0)</f>
        <v>303662.356957</v>
      </c>
    </row>
    <row r="39" ht="20" customHeight="1" spans="1:9" x14ac:dyDescent="0.25">
      <c r="A39" s="68">
        <v>28</v>
      </c>
      <c r="B39" s="69" t="s">
        <v>145</v>
      </c>
      <c r="C39" s="63">
        <v>361072.4963</v>
      </c>
      <c r="D39" s="63">
        <v>0</v>
      </c>
      <c r="E39" s="63">
        <v>0</v>
      </c>
      <c r="F39" s="63">
        <v>0</v>
      </c>
      <c r="G39" s="63">
        <f>SUM(C39:F39)</f>
        <v>361072.49625</v>
      </c>
      <c r="H39" s="63">
        <f>H38+G39</f>
        <v>8077198.185</v>
      </c>
      <c r="I39" s="63">
        <f>IFERROR(G39/POWER(1+0.00643403011,A39),0)</f>
        <v>301721.074479</v>
      </c>
    </row>
    <row r="40" ht="20" customHeight="1" spans="1:9" x14ac:dyDescent="0.25">
      <c r="A40" s="65">
        <v>29</v>
      </c>
      <c r="B40" s="66" t="s">
        <v>146</v>
      </c>
      <c r="C40" s="67">
        <v>361072.4963</v>
      </c>
      <c r="D40" s="67">
        <v>0</v>
      </c>
      <c r="E40" s="67">
        <v>0</v>
      </c>
      <c r="F40" s="67">
        <v>0</v>
      </c>
      <c r="G40" s="67">
        <f>SUM(C40:F40)</f>
        <v>361072.49625</v>
      </c>
      <c r="H40" s="67">
        <f>H39+G40</f>
        <v>8438270.68125</v>
      </c>
      <c r="I40" s="67">
        <f>IFERROR(G40/POWER(1+0.00643403011,A40),0)</f>
        <v>299792.202422</v>
      </c>
    </row>
    <row r="41" ht="20" customHeight="1" spans="1:9" x14ac:dyDescent="0.25">
      <c r="A41" s="68">
        <v>30</v>
      </c>
      <c r="B41" s="69" t="s">
        <v>147</v>
      </c>
      <c r="C41" s="63">
        <v>361072.4963</v>
      </c>
      <c r="D41" s="63">
        <v>0</v>
      </c>
      <c r="E41" s="63">
        <v>0</v>
      </c>
      <c r="F41" s="63">
        <v>0</v>
      </c>
      <c r="G41" s="63">
        <f>SUM(C41:F41)</f>
        <v>361072.49625</v>
      </c>
      <c r="H41" s="63">
        <f>H40+G41</f>
        <v>8799343.1775</v>
      </c>
      <c r="I41" s="63">
        <f>IFERROR(G41/POWER(1+0.00643403011,A41),0)</f>
        <v>297875.661447</v>
      </c>
    </row>
    <row r="42" ht="20" customHeight="1" spans="1:9" x14ac:dyDescent="0.25">
      <c r="A42" s="65">
        <v>31</v>
      </c>
      <c r="B42" s="66" t="s">
        <v>148</v>
      </c>
      <c r="C42" s="67">
        <v>361072.4963</v>
      </c>
      <c r="D42" s="67">
        <v>0</v>
      </c>
      <c r="E42" s="67">
        <v>0</v>
      </c>
      <c r="F42" s="67">
        <v>0</v>
      </c>
      <c r="G42" s="67">
        <f>SUM(C42:F42)</f>
        <v>361072.49625</v>
      </c>
      <c r="H42" s="67">
        <f>H41+G42</f>
        <v>9160415.67375</v>
      </c>
      <c r="I42" s="67">
        <f>IFERROR(G42/POWER(1+0.00643403011,A42),0)</f>
        <v>295971.372723</v>
      </c>
    </row>
    <row r="43" ht="20" customHeight="1" spans="1:9" x14ac:dyDescent="0.25">
      <c r="A43" s="68">
        <v>32</v>
      </c>
      <c r="B43" s="69" t="s">
        <v>149</v>
      </c>
      <c r="C43" s="63">
        <v>361072.4963</v>
      </c>
      <c r="D43" s="63">
        <v>0</v>
      </c>
      <c r="E43" s="63">
        <v>0</v>
      </c>
      <c r="F43" s="63">
        <v>0</v>
      </c>
      <c r="G43" s="63">
        <f>SUM(C43:F43)</f>
        <v>361072.49625</v>
      </c>
      <c r="H43" s="63">
        <f>H42+G43</f>
        <v>9521488.17</v>
      </c>
      <c r="I43" s="63">
        <f>IFERROR(G43/POWER(1+0.00643403011,A43),0)</f>
        <v>294079.257923</v>
      </c>
    </row>
    <row r="44" ht="20" customHeight="1" spans="1:9" x14ac:dyDescent="0.25">
      <c r="A44" s="65">
        <v>33</v>
      </c>
      <c r="B44" s="66" t="s">
        <v>150</v>
      </c>
      <c r="C44" s="67">
        <v>361072.4963</v>
      </c>
      <c r="D44" s="67">
        <v>0</v>
      </c>
      <c r="E44" s="67">
        <v>0</v>
      </c>
      <c r="F44" s="67">
        <v>0</v>
      </c>
      <c r="G44" s="67">
        <f>SUM(C44:F44)</f>
        <v>361072.49625</v>
      </c>
      <c r="H44" s="67">
        <f>H43+G44</f>
        <v>9882560.66625</v>
      </c>
      <c r="I44" s="67">
        <f>IFERROR(G44/POWER(1+0.00643403011,A44),0)</f>
        <v>292199.23922</v>
      </c>
    </row>
    <row r="45" ht="20" customHeight="1" spans="1:9" x14ac:dyDescent="0.25">
      <c r="A45" s="68">
        <v>34</v>
      </c>
      <c r="B45" s="69" t="s">
        <v>151</v>
      </c>
      <c r="C45" s="63">
        <v>361072.4963</v>
      </c>
      <c r="D45" s="63">
        <v>0</v>
      </c>
      <c r="E45" s="63">
        <v>0</v>
      </c>
      <c r="F45" s="63">
        <v>0</v>
      </c>
      <c r="G45" s="63">
        <f>SUM(C45:F45)</f>
        <v>361072.49625</v>
      </c>
      <c r="H45" s="63">
        <f>H44+G45</f>
        <v>10243633.1625</v>
      </c>
      <c r="I45" s="63">
        <f>IFERROR(G45/POWER(1+0.00643403011,A45),0)</f>
        <v>290331.239284</v>
      </c>
    </row>
    <row r="46" ht="20" customHeight="1" spans="1:9" x14ac:dyDescent="0.25">
      <c r="A46" s="65">
        <v>35</v>
      </c>
      <c r="B46" s="66" t="s">
        <v>152</v>
      </c>
      <c r="C46" s="67">
        <v>361072.4963</v>
      </c>
      <c r="D46" s="67">
        <v>0</v>
      </c>
      <c r="E46" s="67">
        <v>0</v>
      </c>
      <c r="F46" s="67">
        <v>0</v>
      </c>
      <c r="G46" s="67">
        <f>SUM(C46:F46)</f>
        <v>361072.49625</v>
      </c>
      <c r="H46" s="67">
        <f>H45+G46</f>
        <v>10604705.65875</v>
      </c>
      <c r="I46" s="67">
        <f>IFERROR(G46/POWER(1+0.00643403011,A46),0)</f>
        <v>288475.181282</v>
      </c>
    </row>
    <row r="47" ht="20" customHeight="1" spans="1:9" x14ac:dyDescent="0.25">
      <c r="A47" s="68">
        <v>36</v>
      </c>
      <c r="B47" s="69" t="s">
        <v>153</v>
      </c>
      <c r="C47" s="63">
        <v>361072.4963</v>
      </c>
      <c r="D47" s="63">
        <v>0</v>
      </c>
      <c r="E47" s="63">
        <v>0</v>
      </c>
      <c r="F47" s="63">
        <v>0</v>
      </c>
      <c r="G47" s="63">
        <f>SUM(C47:F47)</f>
        <v>361072.49625</v>
      </c>
      <c r="H47" s="63">
        <f>H46+G47</f>
        <v>10965778.155</v>
      </c>
      <c r="I47" s="63">
        <f>IFERROR(G47/POWER(1+0.00643403011,A47),0)</f>
        <v>286630.988869</v>
      </c>
    </row>
    <row r="48" ht="20" customHeight="1" spans="1:9" x14ac:dyDescent="0.25">
      <c r="A48" s="65">
        <v>37</v>
      </c>
      <c r="B48" s="66" t="s">
        <v>154</v>
      </c>
      <c r="C48" s="67">
        <v>370099.6666</v>
      </c>
      <c r="D48" s="67">
        <v>0</v>
      </c>
      <c r="E48" s="67">
        <v>0</v>
      </c>
      <c r="F48" s="67">
        <v>0</v>
      </c>
      <c r="G48" s="67">
        <f>SUM(C48:F48)</f>
        <v>370099.66665</v>
      </c>
      <c r="H48" s="67">
        <f>H47+G48</f>
        <v>11335877.82165</v>
      </c>
      <c r="I48" s="67">
        <f>IFERROR(G48/POWER(1+0.00643403011,A48),0)</f>
        <v>291918.833215</v>
      </c>
    </row>
    <row r="49" ht="20" customHeight="1" spans="1:9" x14ac:dyDescent="0.25">
      <c r="A49" s="68">
        <v>38</v>
      </c>
      <c r="B49" s="69" t="s">
        <v>155</v>
      </c>
      <c r="C49" s="63">
        <v>370099.6666</v>
      </c>
      <c r="D49" s="63">
        <v>0</v>
      </c>
      <c r="E49" s="63">
        <v>0</v>
      </c>
      <c r="F49" s="63">
        <v>0</v>
      </c>
      <c r="G49" s="63">
        <f>SUM(C49:F49)</f>
        <v>370099.66665</v>
      </c>
      <c r="H49" s="63">
        <f>H48+G49</f>
        <v>11705977.4883</v>
      </c>
      <c r="I49" s="63">
        <f>IFERROR(G49/POWER(1+0.00643403011,A49),0)</f>
        <v>290052.625887</v>
      </c>
    </row>
    <row r="50" ht="20" customHeight="1" spans="1:9" x14ac:dyDescent="0.25">
      <c r="A50" s="65">
        <v>39</v>
      </c>
      <c r="B50" s="66" t="s">
        <v>156</v>
      </c>
      <c r="C50" s="67">
        <v>370099.6666</v>
      </c>
      <c r="D50" s="67">
        <v>0</v>
      </c>
      <c r="E50" s="67">
        <v>0</v>
      </c>
      <c r="F50" s="67">
        <v>0</v>
      </c>
      <c r="G50" s="67">
        <f>SUM(C50:F50)</f>
        <v>370099.66665</v>
      </c>
      <c r="H50" s="67">
        <f>H49+G50</f>
        <v>12076077.15495</v>
      </c>
      <c r="I50" s="67">
        <f>IFERROR(G50/POWER(1+0.00643403011,A50),0)</f>
        <v>288198.349031</v>
      </c>
    </row>
    <row r="51" ht="20" customHeight="1" spans="1:9" x14ac:dyDescent="0.25">
      <c r="A51" s="68">
        <v>40</v>
      </c>
      <c r="B51" s="69" t="s">
        <v>157</v>
      </c>
      <c r="C51" s="63">
        <v>370099.6666</v>
      </c>
      <c r="D51" s="63">
        <v>0</v>
      </c>
      <c r="E51" s="63">
        <v>0</v>
      </c>
      <c r="F51" s="63">
        <v>0</v>
      </c>
      <c r="G51" s="63">
        <f>SUM(C51:F51)</f>
        <v>370099.66665</v>
      </c>
      <c r="H51" s="63">
        <f>H50+G51</f>
        <v>12446176.8216</v>
      </c>
      <c r="I51" s="63">
        <f>IFERROR(G51/POWER(1+0.00643403011,A51),0)</f>
        <v>286355.926379</v>
      </c>
    </row>
    <row r="52" ht="20" customHeight="1" spans="1:9" x14ac:dyDescent="0.25">
      <c r="A52" s="65">
        <v>41</v>
      </c>
      <c r="B52" s="66" t="s">
        <v>158</v>
      </c>
      <c r="C52" s="67">
        <v>370099.6666</v>
      </c>
      <c r="D52" s="67">
        <v>0</v>
      </c>
      <c r="E52" s="67">
        <v>0</v>
      </c>
      <c r="F52" s="67">
        <v>0</v>
      </c>
      <c r="G52" s="67">
        <f>SUM(C52:F52)</f>
        <v>370099.66665</v>
      </c>
      <c r="H52" s="67">
        <f>H51+G52</f>
        <v>12816276.48825</v>
      </c>
      <c r="I52" s="67">
        <f>IFERROR(G52/POWER(1+0.00643403011,A52),0)</f>
        <v>284525.282146</v>
      </c>
    </row>
    <row r="53" ht="20" customHeight="1" spans="1:9" x14ac:dyDescent="0.25">
      <c r="A53" s="68">
        <v>42</v>
      </c>
      <c r="B53" s="69" t="s">
        <v>159</v>
      </c>
      <c r="C53" s="63">
        <v>370099.6666</v>
      </c>
      <c r="D53" s="63">
        <v>0</v>
      </c>
      <c r="E53" s="63">
        <v>0</v>
      </c>
      <c r="F53" s="63">
        <v>0</v>
      </c>
      <c r="G53" s="63">
        <f>SUM(C53:F53)</f>
        <v>370099.66665</v>
      </c>
      <c r="H53" s="63">
        <f>H52+G53</f>
        <v>13186376.1549</v>
      </c>
      <c r="I53" s="63">
        <f>IFERROR(G53/POWER(1+0.00643403011,A53),0)</f>
        <v>282706.341036</v>
      </c>
    </row>
    <row r="54" ht="20" customHeight="1" spans="1:9" x14ac:dyDescent="0.25">
      <c r="A54" s="65">
        <v>43</v>
      </c>
      <c r="B54" s="66" t="s">
        <v>160</v>
      </c>
      <c r="C54" s="67">
        <v>370099.6666</v>
      </c>
      <c r="D54" s="67">
        <v>0</v>
      </c>
      <c r="E54" s="67">
        <v>0</v>
      </c>
      <c r="F54" s="67">
        <v>0</v>
      </c>
      <c r="G54" s="67">
        <f>SUM(C54:F54)</f>
        <v>370099.66665</v>
      </c>
      <c r="H54" s="67">
        <f>H53+G54</f>
        <v>13556475.82155</v>
      </c>
      <c r="I54" s="67">
        <f>IFERROR(G54/POWER(1+0.00643403011,A54),0)</f>
        <v>280899.02823</v>
      </c>
    </row>
    <row r="55" ht="20" customHeight="1" spans="1:9" x14ac:dyDescent="0.25">
      <c r="A55" s="68">
        <v>44</v>
      </c>
      <c r="B55" s="69" t="s">
        <v>161</v>
      </c>
      <c r="C55" s="63">
        <v>370099.6666</v>
      </c>
      <c r="D55" s="63">
        <v>0</v>
      </c>
      <c r="E55" s="63">
        <v>0</v>
      </c>
      <c r="F55" s="63">
        <v>0</v>
      </c>
      <c r="G55" s="63">
        <f>SUM(C55:F55)</f>
        <v>370099.66665</v>
      </c>
      <c r="H55" s="63">
        <f>H54+G55</f>
        <v>13926575.4882</v>
      </c>
      <c r="I55" s="63">
        <f>IFERROR(G55/POWER(1+0.00643403011,A55),0)</f>
        <v>279103.269391</v>
      </c>
    </row>
    <row r="56" ht="20" customHeight="1" spans="1:9" x14ac:dyDescent="0.25">
      <c r="A56" s="65">
        <v>45</v>
      </c>
      <c r="B56" s="66" t="s">
        <v>162</v>
      </c>
      <c r="C56" s="67">
        <v>370099.6666</v>
      </c>
      <c r="D56" s="67">
        <v>0</v>
      </c>
      <c r="E56" s="67">
        <v>0</v>
      </c>
      <c r="F56" s="67">
        <v>0</v>
      </c>
      <c r="G56" s="67">
        <f>SUM(C56:F56)</f>
        <v>370099.66665</v>
      </c>
      <c r="H56" s="67">
        <f>H55+G56</f>
        <v>14296675.15485</v>
      </c>
      <c r="I56" s="67">
        <f>IFERROR(G56/POWER(1+0.00643403011,A56),0)</f>
        <v>277318.990655</v>
      </c>
    </row>
    <row r="57" ht="20" customHeight="1" spans="1:9" x14ac:dyDescent="0.25">
      <c r="A57" s="68">
        <v>46</v>
      </c>
      <c r="B57" s="69" t="s">
        <v>163</v>
      </c>
      <c r="C57" s="63">
        <v>370099.6666</v>
      </c>
      <c r="D57" s="63">
        <v>0</v>
      </c>
      <c r="E57" s="63">
        <v>0</v>
      </c>
      <c r="F57" s="63">
        <v>0</v>
      </c>
      <c r="G57" s="63">
        <f>SUM(C57:F57)</f>
        <v>370099.66665</v>
      </c>
      <c r="H57" s="63">
        <f>H56+G57</f>
        <v>14666774.8215</v>
      </c>
      <c r="I57" s="63">
        <f>IFERROR(G57/POWER(1+0.00643403011,A57),0)</f>
        <v>275546.118631</v>
      </c>
    </row>
    <row r="58" ht="20" customHeight="1" spans="1:9" x14ac:dyDescent="0.25">
      <c r="A58" s="65">
        <v>47</v>
      </c>
      <c r="B58" s="66" t="s">
        <v>164</v>
      </c>
      <c r="C58" s="67">
        <v>370099.6666</v>
      </c>
      <c r="D58" s="67">
        <v>0</v>
      </c>
      <c r="E58" s="67">
        <v>0</v>
      </c>
      <c r="F58" s="67">
        <v>0</v>
      </c>
      <c r="G58" s="67">
        <f>SUM(C58:F58)</f>
        <v>370099.66665</v>
      </c>
      <c r="H58" s="67">
        <f>H57+G58</f>
        <v>15036874.48815</v>
      </c>
      <c r="I58" s="67">
        <f>IFERROR(G58/POWER(1+0.00643403011,A58),0)</f>
        <v>273784.580397</v>
      </c>
    </row>
    <row r="59" ht="20" customHeight="1" spans="1:9" x14ac:dyDescent="0.25">
      <c r="A59" s="68">
        <v>48</v>
      </c>
      <c r="B59" s="69" t="s">
        <v>165</v>
      </c>
      <c r="C59" s="63">
        <v>370099.6666</v>
      </c>
      <c r="D59" s="63">
        <v>0</v>
      </c>
      <c r="E59" s="63">
        <v>0</v>
      </c>
      <c r="F59" s="63">
        <v>0</v>
      </c>
      <c r="G59" s="63">
        <f>SUM(C59:F59)</f>
        <v>370099.66665</v>
      </c>
      <c r="H59" s="63">
        <f>H58+G59</f>
        <v>15406974.1548</v>
      </c>
      <c r="I59" s="63">
        <f>IFERROR(G59/POWER(1+0.00643403011,A59),0)</f>
        <v>272034.303498</v>
      </c>
    </row>
    <row r="60" ht="20" customHeight="1" spans="1:9" x14ac:dyDescent="0.25">
      <c r="A60" s="65">
        <v>49</v>
      </c>
      <c r="B60" s="66" t="s">
        <v>166</v>
      </c>
      <c r="C60" s="67">
        <v>379352.1345</v>
      </c>
      <c r="D60" s="67">
        <v>0</v>
      </c>
      <c r="E60" s="67">
        <v>0</v>
      </c>
      <c r="F60" s="67">
        <v>0</v>
      </c>
      <c r="G60" s="67">
        <f>SUM(C60:F60)</f>
        <v>379352.13445</v>
      </c>
      <c r="H60" s="67">
        <f>H59+G60</f>
        <v>15786326.28925</v>
      </c>
      <c r="I60" s="67">
        <f>IFERROR(G60/POWER(1+0.00643403011,A60),0)</f>
        <v>277052.578908</v>
      </c>
    </row>
    <row r="61" ht="20" customHeight="1" spans="1:9" x14ac:dyDescent="0.25">
      <c r="A61" s="68">
        <v>50</v>
      </c>
      <c r="B61" s="69" t="s">
        <v>167</v>
      </c>
      <c r="C61" s="63">
        <v>379352.1345</v>
      </c>
      <c r="D61" s="63">
        <v>0</v>
      </c>
      <c r="E61" s="63">
        <v>0</v>
      </c>
      <c r="F61" s="63">
        <v>0</v>
      </c>
      <c r="G61" s="63">
        <f>SUM(C61:F61)</f>
        <v>379352.13445</v>
      </c>
      <c r="H61" s="63">
        <f>H60+G61</f>
        <v>16165678.4237</v>
      </c>
      <c r="I61" s="63">
        <f>IFERROR(G61/POWER(1+0.00643403011,A61),0)</f>
        <v>275281.410027</v>
      </c>
    </row>
    <row r="62" ht="20" customHeight="1" spans="1:9" x14ac:dyDescent="0.25">
      <c r="A62" s="65">
        <v>51</v>
      </c>
      <c r="B62" s="66" t="s">
        <v>168</v>
      </c>
      <c r="C62" s="67">
        <v>379352.1345</v>
      </c>
      <c r="D62" s="67">
        <v>0</v>
      </c>
      <c r="E62" s="67">
        <v>0</v>
      </c>
      <c r="F62" s="67">
        <v>0</v>
      </c>
      <c r="G62" s="67">
        <f>SUM(C62:F62)</f>
        <v>379352.13445</v>
      </c>
      <c r="H62" s="67">
        <f>H61+G62</f>
        <v>16545030.55815</v>
      </c>
      <c r="I62" s="67">
        <f>IFERROR(G62/POWER(1+0.00643403011,A62),0)</f>
        <v>273521.564048</v>
      </c>
    </row>
    <row r="63" ht="20" customHeight="1" spans="1:9" x14ac:dyDescent="0.25">
      <c r="A63" s="68">
        <v>52</v>
      </c>
      <c r="B63" s="69" t="s">
        <v>169</v>
      </c>
      <c r="C63" s="63">
        <v>379352.1345</v>
      </c>
      <c r="D63" s="63">
        <v>0</v>
      </c>
      <c r="E63" s="63">
        <v>0</v>
      </c>
      <c r="F63" s="63">
        <v>0</v>
      </c>
      <c r="G63" s="63">
        <f>SUM(C63:F63)</f>
        <v>379352.13445</v>
      </c>
      <c r="H63" s="63">
        <f>H62+G63</f>
        <v>16924382.6926</v>
      </c>
      <c r="I63" s="63">
        <f>IFERROR(G63/POWER(1+0.00643403011,A63),0)</f>
        <v>271772.968585</v>
      </c>
    </row>
    <row r="64" ht="20" customHeight="1" spans="1:9" x14ac:dyDescent="0.25">
      <c r="A64" s="65">
        <v>53</v>
      </c>
      <c r="B64" s="66" t="s">
        <v>170</v>
      </c>
      <c r="C64" s="67">
        <v>379352.1345</v>
      </c>
      <c r="D64" s="67">
        <v>0</v>
      </c>
      <c r="E64" s="67">
        <v>0</v>
      </c>
      <c r="F64" s="67">
        <v>0</v>
      </c>
      <c r="G64" s="67">
        <f>SUM(C64:F64)</f>
        <v>379352.13445</v>
      </c>
      <c r="H64" s="67">
        <f>H63+G64</f>
        <v>17303734.82705</v>
      </c>
      <c r="I64" s="67">
        <f>IFERROR(G64/POWER(1+0.00643403011,A64),0)</f>
        <v>270035.551715</v>
      </c>
    </row>
    <row r="65" ht="20" customHeight="1" spans="1:9" x14ac:dyDescent="0.25">
      <c r="A65" s="68">
        <v>54</v>
      </c>
      <c r="B65" s="69" t="s">
        <v>171</v>
      </c>
      <c r="C65" s="63">
        <v>379352.1345</v>
      </c>
      <c r="D65" s="63">
        <v>0</v>
      </c>
      <c r="E65" s="63">
        <v>0</v>
      </c>
      <c r="F65" s="63">
        <v>0</v>
      </c>
      <c r="G65" s="63">
        <f>SUM(C65:F65)</f>
        <v>379352.13445</v>
      </c>
      <c r="H65" s="63">
        <f>H64+G65</f>
        <v>17683086.9615</v>
      </c>
      <c r="I65" s="63">
        <f>IFERROR(G65/POWER(1+0.00643403011,A65),0)</f>
        <v>268309.241973</v>
      </c>
    </row>
    <row r="66" ht="20" customHeight="1" spans="1:9" x14ac:dyDescent="0.25">
      <c r="A66" s="65">
        <v>55</v>
      </c>
      <c r="B66" s="66" t="s">
        <v>172</v>
      </c>
      <c r="C66" s="67">
        <v>379352.1345</v>
      </c>
      <c r="D66" s="67">
        <v>0</v>
      </c>
      <c r="E66" s="67">
        <v>0</v>
      </c>
      <c r="F66" s="67">
        <v>0</v>
      </c>
      <c r="G66" s="67">
        <f>SUM(C66:F66)</f>
        <v>379352.13445</v>
      </c>
      <c r="H66" s="67">
        <f>H65+G66</f>
        <v>18062439.09595</v>
      </c>
      <c r="I66" s="67">
        <f>IFERROR(G66/POWER(1+0.00643403011,A66),0)</f>
        <v>266593.968354</v>
      </c>
    </row>
    <row r="67" ht="20" customHeight="1" spans="1:9" x14ac:dyDescent="0.25">
      <c r="A67" s="68">
        <v>56</v>
      </c>
      <c r="B67" s="69" t="s">
        <v>173</v>
      </c>
      <c r="C67" s="63">
        <v>379352.1345</v>
      </c>
      <c r="D67" s="63">
        <v>0</v>
      </c>
      <c r="E67" s="63">
        <v>0</v>
      </c>
      <c r="F67" s="63">
        <v>0</v>
      </c>
      <c r="G67" s="63">
        <f>SUM(C67:F67)</f>
        <v>379352.13445</v>
      </c>
      <c r="H67" s="63">
        <f>H66+G67</f>
        <v>18441791.2304</v>
      </c>
      <c r="I67" s="63">
        <f>IFERROR(G67/POWER(1+0.00643403011,A67),0)</f>
        <v>264889.660304</v>
      </c>
    </row>
    <row r="68" ht="20" customHeight="1" spans="1:9" x14ac:dyDescent="0.25">
      <c r="A68" s="65">
        <v>57</v>
      </c>
      <c r="B68" s="66" t="s">
        <v>174</v>
      </c>
      <c r="C68" s="67">
        <v>379352.1345</v>
      </c>
      <c r="D68" s="67">
        <v>0</v>
      </c>
      <c r="E68" s="67">
        <v>0</v>
      </c>
      <c r="F68" s="67">
        <v>0</v>
      </c>
      <c r="G68" s="67">
        <f>SUM(C68:F68)</f>
        <v>379352.13445</v>
      </c>
      <c r="H68" s="67">
        <f>H67+G68</f>
        <v>18821143.36485</v>
      </c>
      <c r="I68" s="67">
        <f>IFERROR(G68/POWER(1+0.00643403011,A68),0)</f>
        <v>263196.247721</v>
      </c>
    </row>
    <row r="69" ht="20" customHeight="1" spans="1:9" x14ac:dyDescent="0.25">
      <c r="A69" s="68">
        <v>58</v>
      </c>
      <c r="B69" s="69" t="s">
        <v>175</v>
      </c>
      <c r="C69" s="63">
        <v>379352.1345</v>
      </c>
      <c r="D69" s="63">
        <v>0</v>
      </c>
      <c r="E69" s="63">
        <v>0</v>
      </c>
      <c r="F69" s="63">
        <v>0</v>
      </c>
      <c r="G69" s="63">
        <f>SUM(C69:F69)</f>
        <v>379352.13445</v>
      </c>
      <c r="H69" s="63">
        <f>H68+G69</f>
        <v>19200495.4993</v>
      </c>
      <c r="I69" s="63">
        <f>IFERROR(G69/POWER(1+0.00643403011,A69),0)</f>
        <v>261513.660952</v>
      </c>
    </row>
    <row r="70" ht="20" customHeight="1" spans="1:9" x14ac:dyDescent="0.25">
      <c r="A70" s="65">
        <v>59</v>
      </c>
      <c r="B70" s="66" t="s">
        <v>176</v>
      </c>
      <c r="C70" s="67">
        <v>379352.1345</v>
      </c>
      <c r="D70" s="67">
        <v>0</v>
      </c>
      <c r="E70" s="67">
        <v>0</v>
      </c>
      <c r="F70" s="67">
        <v>0</v>
      </c>
      <c r="G70" s="67">
        <f>SUM(C70:F70)</f>
        <v>379352.13445</v>
      </c>
      <c r="H70" s="67">
        <f>H69+G70</f>
        <v>19579847.63375</v>
      </c>
      <c r="I70" s="67">
        <f>IFERROR(G70/POWER(1+0.00643403011,A70),0)</f>
        <v>259841.830789</v>
      </c>
    </row>
    <row r="71" ht="20" customHeight="1" spans="1:9" x14ac:dyDescent="0.25">
      <c r="A71" s="68">
        <v>60</v>
      </c>
      <c r="B71" s="69" t="s">
        <v>177</v>
      </c>
      <c r="C71" s="63">
        <v>379352.1345</v>
      </c>
      <c r="D71" s="63">
        <v>0</v>
      </c>
      <c r="E71" s="63">
        <v>0</v>
      </c>
      <c r="F71" s="63">
        <v>0</v>
      </c>
      <c r="G71" s="63">
        <f>SUM(C71:F71)</f>
        <v>379352.13445</v>
      </c>
      <c r="H71" s="63">
        <f>H70+G71</f>
        <v>19959199.7682</v>
      </c>
      <c r="I71" s="63">
        <f>IFERROR(G71/POWER(1+0.00643403011,A71),0)</f>
        <v>258180.688466</v>
      </c>
    </row>
    <row r="72" ht="20" customHeight="1" spans="1:9" x14ac:dyDescent="0.25">
      <c r="A72" s="65">
        <v>61</v>
      </c>
      <c r="B72" s="66" t="s">
        <v>178</v>
      </c>
      <c r="C72" s="67">
        <v>388835.6276</v>
      </c>
      <c r="D72" s="67">
        <v>0</v>
      </c>
      <c r="E72" s="67">
        <v>0</v>
      </c>
      <c r="F72" s="67">
        <v>0</v>
      </c>
      <c r="G72" s="67">
        <f>SUM(C72:F72)</f>
        <v>388835.62755</v>
      </c>
      <c r="H72" s="67">
        <f>H71+G72</f>
        <v>20348035.39575</v>
      </c>
      <c r="I72" s="67">
        <f>IFERROR(G72/POWER(1+0.00643403011,A72),0)</f>
        <v>262943.209988</v>
      </c>
    </row>
    <row r="73" ht="20" customHeight="1" spans="1:9" x14ac:dyDescent="0.25">
      <c r="A73" s="68">
        <v>62</v>
      </c>
      <c r="B73" s="69" t="s">
        <v>179</v>
      </c>
      <c r="C73" s="63">
        <v>388835.6276</v>
      </c>
      <c r="D73" s="63">
        <v>0</v>
      </c>
      <c r="E73" s="63">
        <v>0</v>
      </c>
      <c r="F73" s="63">
        <v>0</v>
      </c>
      <c r="G73" s="63">
        <f>SUM(C73:F73)</f>
        <v>388835.62755</v>
      </c>
      <c r="H73" s="63">
        <f>H72+G73</f>
        <v>20736871.0233</v>
      </c>
      <c r="I73" s="63">
        <f>IFERROR(G73/POWER(1+0.00643403011,A73),0)</f>
        <v>261262.240864</v>
      </c>
    </row>
    <row r="74" ht="20" customHeight="1" spans="1:9" x14ac:dyDescent="0.25">
      <c r="A74" s="65">
        <v>63</v>
      </c>
      <c r="B74" s="66" t="s">
        <v>180</v>
      </c>
      <c r="C74" s="67">
        <v>388835.6276</v>
      </c>
      <c r="D74" s="67">
        <v>0</v>
      </c>
      <c r="E74" s="67">
        <v>0</v>
      </c>
      <c r="F74" s="67">
        <v>0</v>
      </c>
      <c r="G74" s="67">
        <f>SUM(C74:F74)</f>
        <v>388835.62755</v>
      </c>
      <c r="H74" s="67">
        <f>H73+G74</f>
        <v>21125706.65085</v>
      </c>
      <c r="I74" s="67">
        <f>IFERROR(G74/POWER(1+0.00643403011,A74),0)</f>
        <v>259592.018004</v>
      </c>
    </row>
    <row r="75" ht="20" customHeight="1" spans="1:9" x14ac:dyDescent="0.25">
      <c r="A75" s="68">
        <v>64</v>
      </c>
      <c r="B75" s="69" t="s">
        <v>181</v>
      </c>
      <c r="C75" s="63">
        <v>388835.6276</v>
      </c>
      <c r="D75" s="63">
        <v>0</v>
      </c>
      <c r="E75" s="63">
        <v>0</v>
      </c>
      <c r="F75" s="63">
        <v>0</v>
      </c>
      <c r="G75" s="63">
        <f>SUM(C75:F75)</f>
        <v>388835.62755</v>
      </c>
      <c r="H75" s="63">
        <f>H74+G75</f>
        <v>21514542.2784</v>
      </c>
      <c r="I75" s="63">
        <f>IFERROR(G75/POWER(1+0.00643403011,A75),0)</f>
        <v>257932.472708</v>
      </c>
    </row>
    <row r="76" ht="20" customHeight="1" spans="1:9" x14ac:dyDescent="0.25">
      <c r="A76" s="65">
        <v>65</v>
      </c>
      <c r="B76" s="66" t="s">
        <v>182</v>
      </c>
      <c r="C76" s="67">
        <v>388835.6276</v>
      </c>
      <c r="D76" s="67">
        <v>0</v>
      </c>
      <c r="E76" s="67">
        <v>0</v>
      </c>
      <c r="F76" s="67">
        <v>0</v>
      </c>
      <c r="G76" s="67">
        <f>SUM(C76:F76)</f>
        <v>388835.62755</v>
      </c>
      <c r="H76" s="67">
        <f>H75+G76</f>
        <v>21903377.90595</v>
      </c>
      <c r="I76" s="67">
        <f>IFERROR(G76/POWER(1+0.00643403011,A76),0)</f>
        <v>256283.536716</v>
      </c>
    </row>
    <row r="77" ht="20" customHeight="1" spans="1:9" x14ac:dyDescent="0.25">
      <c r="A77" s="68">
        <v>66</v>
      </c>
      <c r="B77" s="69" t="s">
        <v>183</v>
      </c>
      <c r="C77" s="63">
        <v>388835.6276</v>
      </c>
      <c r="D77" s="63">
        <v>0</v>
      </c>
      <c r="E77" s="63">
        <v>0</v>
      </c>
      <c r="F77" s="63">
        <v>0</v>
      </c>
      <c r="G77" s="63">
        <f>SUM(C77:F77)</f>
        <v>388835.62755</v>
      </c>
      <c r="H77" s="63">
        <f>H76+G77</f>
        <v>22292213.5335</v>
      </c>
      <c r="I77" s="63">
        <f>IFERROR(G77/POWER(1+0.00643403011,A77),0)</f>
        <v>254645.142204</v>
      </c>
    </row>
    <row r="78" ht="20" customHeight="1" spans="1:9" x14ac:dyDescent="0.25">
      <c r="A78" s="65">
        <v>67</v>
      </c>
      <c r="B78" s="66" t="s">
        <v>184</v>
      </c>
      <c r="C78" s="67">
        <v>388835.6276</v>
      </c>
      <c r="D78" s="67">
        <v>0</v>
      </c>
      <c r="E78" s="67">
        <v>0</v>
      </c>
      <c r="F78" s="67">
        <v>0</v>
      </c>
      <c r="G78" s="67">
        <f>SUM(C78:F78)</f>
        <v>388835.62755</v>
      </c>
      <c r="H78" s="67">
        <f>H77+G78</f>
        <v>22681049.16105</v>
      </c>
      <c r="I78" s="67">
        <f>IFERROR(G78/POWER(1+0.00643403011,A78),0)</f>
        <v>253017.221781</v>
      </c>
    </row>
    <row r="79" ht="20" customHeight="1" spans="1:9" x14ac:dyDescent="0.25">
      <c r="A79" s="68">
        <v>68</v>
      </c>
      <c r="B79" s="69" t="s">
        <v>185</v>
      </c>
      <c r="C79" s="63">
        <v>388835.6276</v>
      </c>
      <c r="D79" s="63">
        <v>0</v>
      </c>
      <c r="E79" s="63">
        <v>0</v>
      </c>
      <c r="F79" s="63">
        <v>0</v>
      </c>
      <c r="G79" s="63">
        <f>SUM(C79:F79)</f>
        <v>388835.62755</v>
      </c>
      <c r="H79" s="63">
        <f>H78+G79</f>
        <v>23069884.7886</v>
      </c>
      <c r="I79" s="63">
        <f>IFERROR(G79/POWER(1+0.00643403011,A79),0)</f>
        <v>251399.708487</v>
      </c>
    </row>
    <row r="80" ht="20" customHeight="1" spans="1:9" x14ac:dyDescent="0.25">
      <c r="A80" s="65">
        <v>69</v>
      </c>
      <c r="B80" s="66" t="s">
        <v>186</v>
      </c>
      <c r="C80" s="67">
        <v>388835.6276</v>
      </c>
      <c r="D80" s="67">
        <v>0</v>
      </c>
      <c r="E80" s="67">
        <v>0</v>
      </c>
      <c r="F80" s="67">
        <v>0</v>
      </c>
      <c r="G80" s="67">
        <f>SUM(C80:F80)</f>
        <v>388835.62755</v>
      </c>
      <c r="H80" s="67">
        <f>H79+G80</f>
        <v>23458720.41615</v>
      </c>
      <c r="I80" s="67">
        <f>IFERROR(G80/POWER(1+0.00643403011,A80),0)</f>
        <v>249792.53579</v>
      </c>
    </row>
    <row r="81" ht="20" customHeight="1" spans="1:9" x14ac:dyDescent="0.25">
      <c r="A81" s="68">
        <v>70</v>
      </c>
      <c r="B81" s="69" t="s">
        <v>187</v>
      </c>
      <c r="C81" s="63">
        <v>388835.6276</v>
      </c>
      <c r="D81" s="63">
        <v>0</v>
      </c>
      <c r="E81" s="63">
        <v>0</v>
      </c>
      <c r="F81" s="63">
        <v>0</v>
      </c>
      <c r="G81" s="63">
        <f>SUM(C81:F81)</f>
        <v>388835.62755</v>
      </c>
      <c r="H81" s="63">
        <f>H80+G81</f>
        <v>23847556.0437</v>
      </c>
      <c r="I81" s="63">
        <f>IFERROR(G81/POWER(1+0.00643403011,A81),0)</f>
        <v>248195.637585</v>
      </c>
    </row>
    <row r="82" ht="20" customHeight="1" spans="1:9" x14ac:dyDescent="0.25">
      <c r="A82" s="65">
        <v>71</v>
      </c>
      <c r="B82" s="66" t="s">
        <v>188</v>
      </c>
      <c r="C82" s="67">
        <v>388835.6276</v>
      </c>
      <c r="D82" s="67">
        <v>0</v>
      </c>
      <c r="E82" s="67">
        <v>0</v>
      </c>
      <c r="F82" s="67">
        <v>0</v>
      </c>
      <c r="G82" s="67">
        <f>SUM(C82:F82)</f>
        <v>388835.62755</v>
      </c>
      <c r="H82" s="67">
        <f>H81+G82</f>
        <v>24236391.67125</v>
      </c>
      <c r="I82" s="67">
        <f>IFERROR(G82/POWER(1+0.00643403011,A82),0)</f>
        <v>246608.948187</v>
      </c>
    </row>
    <row r="83" ht="20" customHeight="1" spans="1:9" x14ac:dyDescent="0.25">
      <c r="A83" s="68">
        <v>72</v>
      </c>
      <c r="B83" s="69" t="s">
        <v>189</v>
      </c>
      <c r="C83" s="63">
        <v>388835.6276</v>
      </c>
      <c r="D83" s="63">
        <v>0</v>
      </c>
      <c r="E83" s="63">
        <v>0</v>
      </c>
      <c r="F83" s="63">
        <v>0</v>
      </c>
      <c r="G83" s="63">
        <f>SUM(C83:F83)</f>
        <v>388835.62755</v>
      </c>
      <c r="H83" s="63">
        <f>H82+G83</f>
        <v>24625227.2988</v>
      </c>
      <c r="I83" s="63">
        <f>IFERROR(G83/POWER(1+0.00643403011,A83),0)</f>
        <v>245032.402332</v>
      </c>
    </row>
    <row r="84" ht="20" customHeight="1" spans="1:9" x14ac:dyDescent="0.25">
      <c r="A84" s="65">
        <v>73</v>
      </c>
      <c r="B84" s="66" t="s">
        <v>190</v>
      </c>
      <c r="C84" s="67">
        <v>398556.8285</v>
      </c>
      <c r="D84" s="67">
        <v>0</v>
      </c>
      <c r="E84" s="67">
        <v>0</v>
      </c>
      <c r="F84" s="67">
        <v>0</v>
      </c>
      <c r="G84" s="67">
        <f>SUM(C84:F84)</f>
        <v>398556.8285</v>
      </c>
      <c r="H84" s="67">
        <f>H83+G84</f>
        <v>25023784.1273</v>
      </c>
      <c r="I84" s="67">
        <f>IFERROR(G84/POWER(1+0.00643403011,A84),0)</f>
        <v>249552.777821</v>
      </c>
    </row>
    <row r="85" ht="20" customHeight="1" spans="1:9" x14ac:dyDescent="0.25">
      <c r="A85" s="68">
        <v>74</v>
      </c>
      <c r="B85" s="69" t="s">
        <v>191</v>
      </c>
      <c r="C85" s="63">
        <v>398556.8285</v>
      </c>
      <c r="D85" s="63">
        <v>0</v>
      </c>
      <c r="E85" s="63">
        <v>0</v>
      </c>
      <c r="F85" s="63">
        <v>0</v>
      </c>
      <c r="G85" s="63">
        <f>SUM(C85:F85)</f>
        <v>398556.8285</v>
      </c>
      <c r="H85" s="63">
        <f>H84+G85</f>
        <v>25422340.9558</v>
      </c>
      <c r="I85" s="63">
        <f>IFERROR(G85/POWER(1+0.00643403011,A85),0)</f>
        <v>247957.412364</v>
      </c>
    </row>
    <row r="86" ht="20" customHeight="1" spans="1:9" x14ac:dyDescent="0.25">
      <c r="A86" s="65">
        <v>75</v>
      </c>
      <c r="B86" s="66" t="s">
        <v>192</v>
      </c>
      <c r="C86" s="67">
        <v>398556.8285</v>
      </c>
      <c r="D86" s="67">
        <v>0</v>
      </c>
      <c r="E86" s="67">
        <v>0</v>
      </c>
      <c r="F86" s="67">
        <v>0</v>
      </c>
      <c r="G86" s="67">
        <f>SUM(C86:F86)</f>
        <v>398556.8285</v>
      </c>
      <c r="H86" s="67">
        <f>H85+G86</f>
        <v>25820897.7843</v>
      </c>
      <c r="I86" s="67">
        <f>IFERROR(G86/POWER(1+0.00643403011,A86),0)</f>
        <v>246372.245915</v>
      </c>
    </row>
    <row r="87" ht="20" customHeight="1" spans="1:9" x14ac:dyDescent="0.25">
      <c r="A87" s="68">
        <v>76</v>
      </c>
      <c r="B87" s="69" t="s">
        <v>193</v>
      </c>
      <c r="C87" s="63">
        <v>398556.8285</v>
      </c>
      <c r="D87" s="63">
        <v>0</v>
      </c>
      <c r="E87" s="63">
        <v>0</v>
      </c>
      <c r="F87" s="63">
        <v>0</v>
      </c>
      <c r="G87" s="63">
        <f>SUM(C87:F87)</f>
        <v>398556.8285</v>
      </c>
      <c r="H87" s="63">
        <f>H86+G87</f>
        <v>26219454.6128</v>
      </c>
      <c r="I87" s="63">
        <f>IFERROR(G87/POWER(1+0.00643403011,A87),0)</f>
        <v>244797.213274</v>
      </c>
    </row>
    <row r="88" ht="20" customHeight="1" spans="1:9" x14ac:dyDescent="0.25">
      <c r="A88" s="65">
        <v>77</v>
      </c>
      <c r="B88" s="66" t="s">
        <v>194</v>
      </c>
      <c r="C88" s="67">
        <v>398556.8285</v>
      </c>
      <c r="D88" s="67">
        <v>0</v>
      </c>
      <c r="E88" s="67">
        <v>0</v>
      </c>
      <c r="F88" s="67">
        <v>0</v>
      </c>
      <c r="G88" s="67">
        <f>SUM(C88:F88)</f>
        <v>398556.8285</v>
      </c>
      <c r="H88" s="67">
        <f>H87+G88</f>
        <v>26618011.4413</v>
      </c>
      <c r="I88" s="67">
        <f>IFERROR(G88/POWER(1+0.00643403011,A88),0)</f>
        <v>243232.249656</v>
      </c>
    </row>
    <row r="89" ht="20" customHeight="1" spans="1:9" x14ac:dyDescent="0.25">
      <c r="A89" s="68">
        <v>78</v>
      </c>
      <c r="B89" s="69" t="s">
        <v>195</v>
      </c>
      <c r="C89" s="63">
        <v>398556.8285</v>
      </c>
      <c r="D89" s="63">
        <v>0</v>
      </c>
      <c r="E89" s="63">
        <v>0</v>
      </c>
      <c r="F89" s="63">
        <v>0</v>
      </c>
      <c r="G89" s="63">
        <f>SUM(C89:F89)</f>
        <v>398556.8285</v>
      </c>
      <c r="H89" s="63">
        <f>H88+G89</f>
        <v>27016568.2698</v>
      </c>
      <c r="I89" s="63">
        <f>IFERROR(G89/POWER(1+0.00643403011,A89),0)</f>
        <v>241677.290691</v>
      </c>
    </row>
    <row r="90" ht="20" customHeight="1" spans="1:9" x14ac:dyDescent="0.25">
      <c r="A90" s="65">
        <v>79</v>
      </c>
      <c r="B90" s="66" t="s">
        <v>196</v>
      </c>
      <c r="C90" s="67">
        <v>398556.8285</v>
      </c>
      <c r="D90" s="67">
        <v>0</v>
      </c>
      <c r="E90" s="67">
        <v>0</v>
      </c>
      <c r="F90" s="67">
        <v>0</v>
      </c>
      <c r="G90" s="67">
        <f>SUM(C90:F90)</f>
        <v>398556.8285</v>
      </c>
      <c r="H90" s="67">
        <f>H89+G90</f>
        <v>27415125.0983</v>
      </c>
      <c r="I90" s="67">
        <f>IFERROR(G90/POWER(1+0.00643403011,A90),0)</f>
        <v>240132.27242</v>
      </c>
    </row>
    <row r="91" ht="20" customHeight="1" spans="1:9" x14ac:dyDescent="0.25">
      <c r="A91" s="68">
        <v>80</v>
      </c>
      <c r="B91" s="69" t="s">
        <v>197</v>
      </c>
      <c r="C91" s="63">
        <v>398556.8285</v>
      </c>
      <c r="D91" s="63">
        <v>0</v>
      </c>
      <c r="E91" s="63">
        <v>0</v>
      </c>
      <c r="F91" s="63">
        <v>0</v>
      </c>
      <c r="G91" s="63">
        <f>SUM(C91:F91)</f>
        <v>398556.8285</v>
      </c>
      <c r="H91" s="63">
        <f>H90+G91</f>
        <v>27813681.9268</v>
      </c>
      <c r="I91" s="63">
        <f>IFERROR(G91/POWER(1+0.00643403011,A91),0)</f>
        <v>238597.131293</v>
      </c>
    </row>
    <row r="92" ht="20" customHeight="1" spans="1:9" x14ac:dyDescent="0.25">
      <c r="A92" s="65">
        <v>81</v>
      </c>
      <c r="B92" s="66" t="s">
        <v>198</v>
      </c>
      <c r="C92" s="67">
        <v>398556.8285</v>
      </c>
      <c r="D92" s="67">
        <v>0</v>
      </c>
      <c r="E92" s="67">
        <v>0</v>
      </c>
      <c r="F92" s="67">
        <v>0</v>
      </c>
      <c r="G92" s="67">
        <f>SUM(C92:F92)</f>
        <v>398556.8285</v>
      </c>
      <c r="H92" s="67">
        <f>H91+G92</f>
        <v>28212238.7553</v>
      </c>
      <c r="I92" s="67">
        <f>IFERROR(G92/POWER(1+0.00643403011,A92),0)</f>
        <v>237071.804167</v>
      </c>
    </row>
    <row r="93" ht="20" customHeight="1" spans="1:9" x14ac:dyDescent="0.25">
      <c r="A93" s="68">
        <v>82</v>
      </c>
      <c r="B93" s="69" t="s">
        <v>199</v>
      </c>
      <c r="C93" s="63">
        <v>398556.8285</v>
      </c>
      <c r="D93" s="63">
        <v>0</v>
      </c>
      <c r="E93" s="63">
        <v>0</v>
      </c>
      <c r="F93" s="63">
        <v>0</v>
      </c>
      <c r="G93" s="63">
        <f>SUM(C93:F93)</f>
        <v>398556.8285</v>
      </c>
      <c r="H93" s="63">
        <f>H92+G93</f>
        <v>28610795.5838</v>
      </c>
      <c r="I93" s="63">
        <f>IFERROR(G93/POWER(1+0.00643403011,A93),0)</f>
        <v>235556.228301</v>
      </c>
    </row>
    <row r="94" ht="20" customHeight="1" spans="1:9" x14ac:dyDescent="0.25">
      <c r="A94" s="65">
        <v>83</v>
      </c>
      <c r="B94" s="66" t="s">
        <v>200</v>
      </c>
      <c r="C94" s="67">
        <v>398556.8285</v>
      </c>
      <c r="D94" s="67">
        <v>0</v>
      </c>
      <c r="E94" s="67">
        <v>0</v>
      </c>
      <c r="F94" s="67">
        <v>0</v>
      </c>
      <c r="G94" s="67">
        <f>SUM(C94:F94)</f>
        <v>398556.8285</v>
      </c>
      <c r="H94" s="67">
        <f>H93+G94</f>
        <v>29009352.4123</v>
      </c>
      <c r="I94" s="67">
        <f>IFERROR(G94/POWER(1+0.00643403011,A94),0)</f>
        <v>234050.341358</v>
      </c>
    </row>
    <row r="95" ht="20" customHeight="1" spans="1:9" x14ac:dyDescent="0.25">
      <c r="A95" s="68">
        <v>84</v>
      </c>
      <c r="B95" s="69" t="s">
        <v>201</v>
      </c>
      <c r="C95" s="63">
        <v>398556.8285</v>
      </c>
      <c r="D95" s="63">
        <v>0</v>
      </c>
      <c r="E95" s="63">
        <v>0</v>
      </c>
      <c r="F95" s="63">
        <v>0</v>
      </c>
      <c r="G95" s="63">
        <f>SUM(C95:F95)</f>
        <v>398556.8285</v>
      </c>
      <c r="H95" s="63">
        <f>H94+G95</f>
        <v>29407909.2408</v>
      </c>
      <c r="I95" s="63">
        <f>IFERROR(G95/POWER(1+0.00643403011,A95),0)</f>
        <v>232554.081396</v>
      </c>
    </row>
    <row r="96" ht="20" customHeight="1" spans="1:9" x14ac:dyDescent="0.25">
      <c r="A96" s="65">
        <v>85</v>
      </c>
      <c r="B96" s="66" t="s">
        <v>202</v>
      </c>
      <c r="C96" s="67">
        <v>408520.5106</v>
      </c>
      <c r="D96" s="67">
        <v>0</v>
      </c>
      <c r="E96" s="67">
        <v>0</v>
      </c>
      <c r="F96" s="67">
        <v>0</v>
      </c>
      <c r="G96" s="67">
        <f>SUM(C96:F96)</f>
        <v>408520.51055</v>
      </c>
      <c r="H96" s="67">
        <f>H95+G96</f>
        <v>29816429.75135</v>
      </c>
      <c r="I96" s="67">
        <f>IFERROR(G96/POWER(1+0.00643403011,A96),0)</f>
        <v>236843.933176</v>
      </c>
    </row>
    <row r="97" ht="20" customHeight="1" spans="1:9" x14ac:dyDescent="0.25">
      <c r="A97" s="68">
        <v>86</v>
      </c>
      <c r="B97" s="69" t="s">
        <v>203</v>
      </c>
      <c r="C97" s="63">
        <v>408520.5106</v>
      </c>
      <c r="D97" s="63">
        <v>0</v>
      </c>
      <c r="E97" s="63">
        <v>0</v>
      </c>
      <c r="F97" s="63">
        <v>0</v>
      </c>
      <c r="G97" s="63">
        <f>SUM(C97:F97)</f>
        <v>408520.51055</v>
      </c>
      <c r="H97" s="63">
        <f>H96+G97</f>
        <v>30224950.2619</v>
      </c>
      <c r="I97" s="63">
        <f>IFERROR(G97/POWER(1+0.00643403011,A97),0)</f>
        <v>235329.814067</v>
      </c>
    </row>
    <row r="98" ht="20" customHeight="1" spans="1:9" x14ac:dyDescent="0.25">
      <c r="A98" s="65">
        <v>87</v>
      </c>
      <c r="B98" s="66" t="s">
        <v>204</v>
      </c>
      <c r="C98" s="67">
        <v>408520.5106</v>
      </c>
      <c r="D98" s="67">
        <v>0</v>
      </c>
      <c r="E98" s="67">
        <v>0</v>
      </c>
      <c r="F98" s="67">
        <v>0</v>
      </c>
      <c r="G98" s="67">
        <f>SUM(C98:F98)</f>
        <v>408520.51055</v>
      </c>
      <c r="H98" s="67">
        <f>H97+G98</f>
        <v>30633470.77245</v>
      </c>
      <c r="I98" s="67">
        <f>IFERROR(G98/POWER(1+0.00643403011,A98),0)</f>
        <v>233825.374566</v>
      </c>
    </row>
    <row r="99" ht="20" customHeight="1" spans="1:9" x14ac:dyDescent="0.25">
      <c r="A99" s="68">
        <v>88</v>
      </c>
      <c r="B99" s="69" t="s">
        <v>205</v>
      </c>
      <c r="C99" s="63">
        <v>408520.5106</v>
      </c>
      <c r="D99" s="63">
        <v>0</v>
      </c>
      <c r="E99" s="63">
        <v>0</v>
      </c>
      <c r="F99" s="63">
        <v>0</v>
      </c>
      <c r="G99" s="63">
        <f>SUM(C99:F99)</f>
        <v>408520.51055</v>
      </c>
      <c r="H99" s="63">
        <f>H98+G99</f>
        <v>31041991.283</v>
      </c>
      <c r="I99" s="63">
        <f>IFERROR(G99/POWER(1+0.00643403011,A99),0)</f>
        <v>232330.552794</v>
      </c>
    </row>
    <row r="100" ht="20" customHeight="1" spans="1:9" x14ac:dyDescent="0.25">
      <c r="A100" s="65">
        <v>89</v>
      </c>
      <c r="B100" s="66" t="s">
        <v>206</v>
      </c>
      <c r="C100" s="67">
        <v>408520.5106</v>
      </c>
      <c r="D100" s="67">
        <v>0</v>
      </c>
      <c r="E100" s="67">
        <v>0</v>
      </c>
      <c r="F100" s="67">
        <v>0</v>
      </c>
      <c r="G100" s="67">
        <f>SUM(C100:F100)</f>
        <v>408520.51055</v>
      </c>
      <c r="H100" s="67">
        <f>H99+G100</f>
        <v>31450511.79355</v>
      </c>
      <c r="I100" s="67">
        <f>IFERROR(G100/POWER(1+0.00643403011,A100),0)</f>
        <v>230845.287265</v>
      </c>
    </row>
    <row r="101" ht="20" customHeight="1" spans="1:9" x14ac:dyDescent="0.25">
      <c r="A101" s="70" t="s">
        <v>1</v>
      </c>
      <c r="B101" s="55" t="s">
        <v>217</v>
      </c>
      <c r="C101" s="56">
        <f>SUM(C9:C100)</f>
      </c>
      <c r="D101" s="56">
        <f>SUM(D9:D100)</f>
      </c>
      <c r="E101" s="56">
        <f>SUM(E9:E100)</f>
      </c>
      <c r="F101" s="56">
        <f>SUM(F9:F100)</f>
      </c>
      <c r="G101" s="56">
        <f>SUM(G9:G100)</f>
      </c>
      <c r="H101" s="56">
        <f>SUM(H9:H100)</f>
      </c>
      <c r="I101" s="56">
        <f>SUM(I9:I100)</f>
      </c>
    </row>
  </sheetData>
  <mergeCells count="3">
    <mergeCell ref="A1:I2"/>
    <mergeCell ref="D3:F4"/>
    <mergeCell ref="A6:I6"/>
  </mergeCells>
  <pageMargins left="0.25" right="0.25" top="0.45" bottom="0.45" header="0.2" footer="0.2"/>
  <pageSetup paperSize="1" orientation="portrait" horizontalDpi="4294967295" verticalDpi="4294967295" scale="100" fitToWidth="1" fitToHeight="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5"/>
  <sheetViews>
    <sheetView workbookViewId="0" showGridLines="0" zoomScale="100" view="pageBreakPreview"/>
  </sheetViews>
  <sheetFormatPr defaultRowHeight="15" outlineLevelRow="0" outlineLevelCol="0" x14ac:dyDescent="55"/>
  <cols>
    <col min="1" max="1" width="10" customWidth="1"/>
    <col min="2" max="2" width="24" customWidth="1"/>
    <col min="3" max="6" width="14" customWidth="1"/>
    <col min="7" max="9" width="16" customWidth="1"/>
  </cols>
  <sheetData>
    <row r="1" ht="20" customHeight="1" spans="1:9" x14ac:dyDescent="0.25">
      <c r="A1" s="23" t="s">
        <v>218</v>
      </c>
      <c r="B1" s="23"/>
      <c r="C1" s="23"/>
      <c r="D1" s="23"/>
      <c r="E1" s="23"/>
      <c r="F1" s="23"/>
      <c r="G1" s="23"/>
      <c r="H1" s="23"/>
      <c r="I1" s="23"/>
    </row>
    <row r="2" ht="20" customHeight="1" spans="1:9" x14ac:dyDescent="0.25">
      <c r="A2" s="23"/>
      <c r="B2" s="23"/>
      <c r="C2" s="23"/>
      <c r="D2" s="23"/>
      <c r="E2" s="23"/>
      <c r="F2" s="23"/>
      <c r="G2" s="23"/>
      <c r="H2" s="23"/>
      <c r="I2" s="23"/>
    </row>
    <row r="3" ht="22" customHeight="1" spans="4:6" x14ac:dyDescent="0.25">
      <c r="D3" s="24" t="s">
        <v>22</v>
      </c>
      <c r="E3" s="24"/>
      <c r="F3" s="24"/>
    </row>
    <row r="4" ht="22" customHeight="1" spans="1:9" x14ac:dyDescent="0.25">
      <c r="A4" s="2"/>
      <c r="B4" s="2"/>
      <c r="C4" s="2"/>
      <c r="D4" s="24"/>
      <c r="E4" s="24"/>
      <c r="F4" s="24"/>
      <c r="G4" s="2"/>
      <c r="H4" s="2"/>
      <c r="I4" s="2"/>
    </row>
    <row r="6" ht="56" customHeight="1" spans="1:9" x14ac:dyDescent="0.25">
      <c r="A6" s="57" t="s">
        <v>219</v>
      </c>
      <c r="B6" s="57"/>
      <c r="C6" s="57"/>
      <c r="D6" s="57"/>
      <c r="E6" s="57"/>
      <c r="F6" s="57"/>
      <c r="G6" s="57"/>
      <c r="H6" s="57"/>
      <c r="I6" s="57"/>
    </row>
    <row r="7" ht="20" customHeight="1" x14ac:dyDescent="0.25"/>
    <row r="8" ht="20" customHeight="1" spans="1:9" x14ac:dyDescent="0.25">
      <c r="A8" s="42" t="s">
        <v>89</v>
      </c>
      <c r="B8" s="42" t="s">
        <v>90</v>
      </c>
      <c r="C8" s="42" t="s">
        <v>210</v>
      </c>
      <c r="D8" s="42" t="s">
        <v>211</v>
      </c>
      <c r="E8" s="42" t="s">
        <v>212</v>
      </c>
      <c r="F8" s="42" t="s">
        <v>213</v>
      </c>
      <c r="G8" s="42" t="s">
        <v>214</v>
      </c>
      <c r="H8" s="42" t="s">
        <v>215</v>
      </c>
      <c r="I8" s="42" t="s">
        <v>216</v>
      </c>
    </row>
    <row r="9" ht="20" customHeight="1" spans="1:9" x14ac:dyDescent="0.25">
      <c r="A9" s="58">
        <v>0</v>
      </c>
      <c r="B9" s="59" t="s">
        <v>94</v>
      </c>
      <c r="C9" s="60">
        <v>0</v>
      </c>
      <c r="D9" s="60">
        <v>0</v>
      </c>
      <c r="E9" s="60">
        <v>0</v>
      </c>
      <c r="F9" s="60">
        <v>0</v>
      </c>
      <c r="G9" s="60">
        <f>SUM(C9:F9)</f>
        <v>0</v>
      </c>
      <c r="H9" s="60">
        <f>G9</f>
        <v>0</v>
      </c>
      <c r="I9" s="60">
        <f>IFERROR(G9/POWER(1+0.00643403011,A9),0)</f>
        <v>0</v>
      </c>
    </row>
    <row r="10" ht="20" customHeight="1" spans="1:9" x14ac:dyDescent="0.25">
      <c r="A10" s="61" t="s">
        <v>95</v>
      </c>
      <c r="B10" s="62" t="s">
        <v>96</v>
      </c>
      <c r="C10" s="63">
        <v>0</v>
      </c>
      <c r="D10" s="63">
        <v>0</v>
      </c>
      <c r="E10" s="63">
        <v>0</v>
      </c>
      <c r="F10" s="63">
        <v>0</v>
      </c>
      <c r="G10" s="63">
        <f>SUM(C10:F10)</f>
        <v>0</v>
      </c>
      <c r="H10" s="63">
        <f>H9+G10</f>
        <v>0</v>
      </c>
      <c r="I10" s="63">
        <f>G10</f>
        <v>0</v>
      </c>
    </row>
    <row r="11" ht="28" customHeight="1" spans="1:9" x14ac:dyDescent="0.25">
      <c r="A11" s="61" t="s">
        <v>97</v>
      </c>
      <c r="B11" s="62" t="s">
        <v>98</v>
      </c>
      <c r="C11" s="63">
        <v>0</v>
      </c>
      <c r="D11" s="63">
        <v>0</v>
      </c>
      <c r="E11" s="63">
        <v>0</v>
      </c>
      <c r="F11" s="64">
        <v>0</v>
      </c>
      <c r="G11" s="64">
        <f>SUM(C11:F11)</f>
        <v>0</v>
      </c>
      <c r="H11" s="64">
        <f>H10+G11</f>
        <v>0</v>
      </c>
      <c r="I11" s="64">
        <f>G11</f>
        <v>0</v>
      </c>
    </row>
    <row r="12" ht="20" customHeight="1" spans="1:9" x14ac:dyDescent="0.25">
      <c r="A12" s="65">
        <v>1</v>
      </c>
      <c r="B12" s="66" t="s">
        <v>38</v>
      </c>
      <c r="C12" s="67">
        <v>0</v>
      </c>
      <c r="D12" s="67">
        <v>5512.65</v>
      </c>
      <c r="E12" s="67">
        <v>0</v>
      </c>
      <c r="F12" s="67">
        <v>0</v>
      </c>
      <c r="G12" s="67">
        <f>SUM(C12:F12)</f>
        <v>5512.65</v>
      </c>
      <c r="H12" s="67">
        <f>H11+G12</f>
        <v>5512.65</v>
      </c>
      <c r="I12" s="67">
        <f>IFERROR(G12/POWER(1+0.00643403011,A12),0)</f>
        <v>5477.408191</v>
      </c>
    </row>
    <row r="13" ht="20" customHeight="1" spans="1:9" x14ac:dyDescent="0.25">
      <c r="A13" s="68">
        <v>2</v>
      </c>
      <c r="B13" s="69" t="s">
        <v>104</v>
      </c>
      <c r="C13" s="63">
        <v>0</v>
      </c>
      <c r="D13" s="63">
        <v>5512.65</v>
      </c>
      <c r="E13" s="63">
        <v>0</v>
      </c>
      <c r="F13" s="63">
        <v>0</v>
      </c>
      <c r="G13" s="63">
        <f>SUM(C13:F13)</f>
        <v>5512.65</v>
      </c>
      <c r="H13" s="63">
        <f>H12+G13</f>
        <v>11025.3</v>
      </c>
      <c r="I13" s="63">
        <f>IFERROR(G13/POWER(1+0.00643403011,A13),0)</f>
        <v>5442.391679</v>
      </c>
    </row>
    <row r="14" ht="20" customHeight="1" spans="1:9" x14ac:dyDescent="0.25">
      <c r="A14" s="65">
        <v>3</v>
      </c>
      <c r="B14" s="66" t="s">
        <v>105</v>
      </c>
      <c r="C14" s="67">
        <v>0</v>
      </c>
      <c r="D14" s="67">
        <v>5512.65</v>
      </c>
      <c r="E14" s="67">
        <v>0</v>
      </c>
      <c r="F14" s="67">
        <v>0</v>
      </c>
      <c r="G14" s="67">
        <f>SUM(C14:F14)</f>
        <v>5512.65</v>
      </c>
      <c r="H14" s="67">
        <f>H13+G14</f>
        <v>16537.95</v>
      </c>
      <c r="I14" s="67">
        <f>IFERROR(G14/POWER(1+0.00643403011,A14),0)</f>
        <v>5407.599024</v>
      </c>
    </row>
    <row r="15" ht="20" customHeight="1" spans="1:9" x14ac:dyDescent="0.25">
      <c r="A15" s="68">
        <v>4</v>
      </c>
      <c r="B15" s="69" t="s">
        <v>106</v>
      </c>
      <c r="C15" s="63">
        <v>0</v>
      </c>
      <c r="D15" s="63">
        <v>5512.65</v>
      </c>
      <c r="E15" s="63">
        <v>0</v>
      </c>
      <c r="F15" s="63">
        <v>0</v>
      </c>
      <c r="G15" s="63">
        <f>SUM(C15:F15)</f>
        <v>5512.65</v>
      </c>
      <c r="H15" s="63">
        <f>H14+G15</f>
        <v>22050.6</v>
      </c>
      <c r="I15" s="63">
        <f>IFERROR(G15/POWER(1+0.00643403011,A15),0)</f>
        <v>5373.028795</v>
      </c>
    </row>
    <row r="16" ht="20" customHeight="1" spans="1:9" x14ac:dyDescent="0.25">
      <c r="A16" s="65">
        <v>5</v>
      </c>
      <c r="B16" s="66" t="s">
        <v>107</v>
      </c>
      <c r="C16" s="67">
        <v>0</v>
      </c>
      <c r="D16" s="67">
        <v>5512.65</v>
      </c>
      <c r="E16" s="67">
        <v>0</v>
      </c>
      <c r="F16" s="67">
        <v>0</v>
      </c>
      <c r="G16" s="67">
        <f>SUM(C16:F16)</f>
        <v>5512.65</v>
      </c>
      <c r="H16" s="67">
        <f>H15+G16</f>
        <v>27563.25</v>
      </c>
      <c r="I16" s="67">
        <f>IFERROR(G16/POWER(1+0.00643403011,A16),0)</f>
        <v>5338.67957</v>
      </c>
    </row>
    <row r="17" ht="20" customHeight="1" spans="1:9" x14ac:dyDescent="0.25">
      <c r="A17" s="68">
        <v>6</v>
      </c>
      <c r="B17" s="69" t="s">
        <v>108</v>
      </c>
      <c r="C17" s="63">
        <v>0</v>
      </c>
      <c r="D17" s="63">
        <v>5512.65</v>
      </c>
      <c r="E17" s="63">
        <v>0</v>
      </c>
      <c r="F17" s="63">
        <v>0</v>
      </c>
      <c r="G17" s="63">
        <f>SUM(C17:F17)</f>
        <v>5512.65</v>
      </c>
      <c r="H17" s="63">
        <f>H16+G17</f>
        <v>33075.9</v>
      </c>
      <c r="I17" s="63">
        <f>IFERROR(G17/POWER(1+0.00643403011,A17),0)</f>
        <v>5304.549936</v>
      </c>
    </row>
    <row r="18" ht="20" customHeight="1" spans="1:9" x14ac:dyDescent="0.25">
      <c r="A18" s="65">
        <v>7</v>
      </c>
      <c r="B18" s="66" t="s">
        <v>109</v>
      </c>
      <c r="C18" s="67">
        <v>10408.5</v>
      </c>
      <c r="D18" s="67">
        <v>5512.65</v>
      </c>
      <c r="E18" s="67">
        <v>0</v>
      </c>
      <c r="F18" s="67">
        <v>0</v>
      </c>
      <c r="G18" s="67">
        <f>SUM(C18:F18)</f>
        <v>15921.15</v>
      </c>
      <c r="H18" s="67">
        <f>H17+G18</f>
        <v>48997.05</v>
      </c>
      <c r="I18" s="67">
        <f>IFERROR(G18/POWER(1+0.00643403011,A18),0)</f>
        <v>15222.193678</v>
      </c>
    </row>
    <row r="19" ht="20" customHeight="1" spans="1:9" x14ac:dyDescent="0.25">
      <c r="A19" s="68">
        <v>8</v>
      </c>
      <c r="B19" s="69" t="s">
        <v>110</v>
      </c>
      <c r="C19" s="63">
        <v>10408.5</v>
      </c>
      <c r="D19" s="63">
        <v>5512.65</v>
      </c>
      <c r="E19" s="63">
        <v>0</v>
      </c>
      <c r="F19" s="63">
        <v>0</v>
      </c>
      <c r="G19" s="63">
        <f>SUM(C19:F19)</f>
        <v>15921.15</v>
      </c>
      <c r="H19" s="63">
        <f>H18+G19</f>
        <v>64918.2</v>
      </c>
      <c r="I19" s="63">
        <f>IFERROR(G19/POWER(1+0.00643403011,A19),0)</f>
        <v>15124.879746</v>
      </c>
    </row>
    <row r="20" ht="20" customHeight="1" spans="1:9" x14ac:dyDescent="0.25">
      <c r="A20" s="65">
        <v>9</v>
      </c>
      <c r="B20" s="66" t="s">
        <v>111</v>
      </c>
      <c r="C20" s="67">
        <v>10408.5</v>
      </c>
      <c r="D20" s="67">
        <v>5512.65</v>
      </c>
      <c r="E20" s="67">
        <v>0</v>
      </c>
      <c r="F20" s="67">
        <v>0</v>
      </c>
      <c r="G20" s="67">
        <f>SUM(C20:F20)</f>
        <v>15921.15</v>
      </c>
      <c r="H20" s="67">
        <f>H19+G20</f>
        <v>80839.35</v>
      </c>
      <c r="I20" s="67">
        <f>IFERROR(G20/POWER(1+0.00643403011,A20),0)</f>
        <v>15028.187933</v>
      </c>
    </row>
    <row r="21" ht="20" customHeight="1" spans="1:9" x14ac:dyDescent="0.25">
      <c r="A21" s="68">
        <v>10</v>
      </c>
      <c r="B21" s="69" t="s">
        <v>112</v>
      </c>
      <c r="C21" s="63">
        <v>10408.5</v>
      </c>
      <c r="D21" s="63">
        <v>5512.65</v>
      </c>
      <c r="E21" s="63">
        <v>0</v>
      </c>
      <c r="F21" s="63">
        <v>0</v>
      </c>
      <c r="G21" s="63">
        <f>SUM(C21:F21)</f>
        <v>15921.15</v>
      </c>
      <c r="H21" s="63">
        <f>H20+G21</f>
        <v>96760.5</v>
      </c>
      <c r="I21" s="63">
        <f>IFERROR(G21/POWER(1+0.00643403011,A21),0)</f>
        <v>14932.11426</v>
      </c>
    </row>
    <row r="22" ht="20" customHeight="1" spans="1:9" x14ac:dyDescent="0.25">
      <c r="A22" s="65">
        <v>11</v>
      </c>
      <c r="B22" s="66" t="s">
        <v>113</v>
      </c>
      <c r="C22" s="67">
        <v>10408.5</v>
      </c>
      <c r="D22" s="67">
        <v>5512.65</v>
      </c>
      <c r="E22" s="67">
        <v>0</v>
      </c>
      <c r="F22" s="67">
        <v>0</v>
      </c>
      <c r="G22" s="67">
        <f>SUM(C22:F22)</f>
        <v>15921.15</v>
      </c>
      <c r="H22" s="67">
        <f>H21+G22</f>
        <v>112681.65</v>
      </c>
      <c r="I22" s="67">
        <f>IFERROR(G22/POWER(1+0.00643403011,A22),0)</f>
        <v>14836.654776</v>
      </c>
    </row>
    <row r="23" ht="20" customHeight="1" spans="1:9" x14ac:dyDescent="0.25">
      <c r="A23" s="68">
        <v>12</v>
      </c>
      <c r="B23" s="69" t="s">
        <v>114</v>
      </c>
      <c r="C23" s="63">
        <v>10408.5</v>
      </c>
      <c r="D23" s="63">
        <v>5512.65</v>
      </c>
      <c r="E23" s="63">
        <v>0</v>
      </c>
      <c r="F23" s="63">
        <v>0</v>
      </c>
      <c r="G23" s="63">
        <f>SUM(C23:F23)</f>
        <v>15921.15</v>
      </c>
      <c r="H23" s="63">
        <f>H22+G23</f>
        <v>128602.8</v>
      </c>
      <c r="I23" s="63">
        <f>IFERROR(G23/POWER(1+0.00643403011,A23),0)</f>
        <v>14741.805556</v>
      </c>
    </row>
    <row r="24" ht="20" customHeight="1" spans="1:9" x14ac:dyDescent="0.25">
      <c r="A24" s="65">
        <v>13</v>
      </c>
      <c r="B24" s="66" t="s">
        <v>115</v>
      </c>
      <c r="C24" s="67">
        <v>10720.755</v>
      </c>
      <c r="D24" s="67">
        <v>5512.65</v>
      </c>
      <c r="E24" s="67">
        <v>0</v>
      </c>
      <c r="F24" s="67">
        <v>0</v>
      </c>
      <c r="G24" s="67">
        <f>SUM(C24:F24)</f>
        <v>16233.405</v>
      </c>
      <c r="H24" s="67">
        <f>H23+G24</f>
        <v>144836.205</v>
      </c>
      <c r="I24" s="67">
        <f>IFERROR(G24/POWER(1+0.00643403011,A24),0)</f>
        <v>14934.839349</v>
      </c>
    </row>
    <row r="25" ht="20" customHeight="1" spans="1:9" x14ac:dyDescent="0.25">
      <c r="A25" s="68">
        <v>14</v>
      </c>
      <c r="B25" s="69" t="s">
        <v>116</v>
      </c>
      <c r="C25" s="63">
        <v>10720.755</v>
      </c>
      <c r="D25" s="63">
        <v>5512.65</v>
      </c>
      <c r="E25" s="63">
        <v>0</v>
      </c>
      <c r="F25" s="63">
        <v>0</v>
      </c>
      <c r="G25" s="63">
        <f>SUM(C25:F25)</f>
        <v>16233.405</v>
      </c>
      <c r="H25" s="63">
        <f>H24+G25</f>
        <v>161069.61</v>
      </c>
      <c r="I25" s="63">
        <f>IFERROR(G25/POWER(1+0.00643403011,A25),0)</f>
        <v>14839.362445</v>
      </c>
    </row>
    <row r="26" ht="20" customHeight="1" spans="1:9" x14ac:dyDescent="0.25">
      <c r="A26" s="65">
        <v>15</v>
      </c>
      <c r="B26" s="66" t="s">
        <v>117</v>
      </c>
      <c r="C26" s="67">
        <v>10720.755</v>
      </c>
      <c r="D26" s="67">
        <v>5512.65</v>
      </c>
      <c r="E26" s="67">
        <v>0</v>
      </c>
      <c r="F26" s="67">
        <v>0</v>
      </c>
      <c r="G26" s="67">
        <f>SUM(C26:F26)</f>
        <v>16233.405</v>
      </c>
      <c r="H26" s="67">
        <f>H25+G26</f>
        <v>177303.015</v>
      </c>
      <c r="I26" s="67">
        <f>IFERROR(G26/POWER(1+0.00643403011,A26),0)</f>
        <v>14744.495914</v>
      </c>
    </row>
    <row r="27" ht="20" customHeight="1" spans="1:9" x14ac:dyDescent="0.25">
      <c r="A27" s="68">
        <v>16</v>
      </c>
      <c r="B27" s="69" t="s">
        <v>118</v>
      </c>
      <c r="C27" s="63">
        <v>10720.755</v>
      </c>
      <c r="D27" s="63">
        <v>5512.65</v>
      </c>
      <c r="E27" s="63">
        <v>0</v>
      </c>
      <c r="F27" s="63">
        <v>0</v>
      </c>
      <c r="G27" s="63">
        <f>SUM(C27:F27)</f>
        <v>16233.405</v>
      </c>
      <c r="H27" s="63">
        <f>H26+G27</f>
        <v>193536.42</v>
      </c>
      <c r="I27" s="63">
        <f>IFERROR(G27/POWER(1+0.00643403011,A27),0)</f>
        <v>14650.235855</v>
      </c>
    </row>
    <row r="28" ht="20" customHeight="1" spans="1:9" x14ac:dyDescent="0.25">
      <c r="A28" s="65">
        <v>17</v>
      </c>
      <c r="B28" s="66" t="s">
        <v>37</v>
      </c>
      <c r="C28" s="67">
        <v>10720.755</v>
      </c>
      <c r="D28" s="67">
        <v>5512.65</v>
      </c>
      <c r="E28" s="67">
        <v>0</v>
      </c>
      <c r="F28" s="67">
        <v>0</v>
      </c>
      <c r="G28" s="67">
        <f>SUM(C28:F28)</f>
        <v>16233.405</v>
      </c>
      <c r="H28" s="67">
        <f>H27+G28</f>
        <v>209769.825</v>
      </c>
      <c r="I28" s="67">
        <f>IFERROR(G28/POWER(1+0.00643403011,A28),0)</f>
        <v>14556.578392</v>
      </c>
    </row>
    <row r="29" ht="20" customHeight="1" spans="1:9" x14ac:dyDescent="0.25">
      <c r="A29" s="68">
        <v>18</v>
      </c>
      <c r="B29" s="69" t="s">
        <v>119</v>
      </c>
      <c r="C29" s="63">
        <v>10720.755</v>
      </c>
      <c r="D29" s="63">
        <v>5512.65</v>
      </c>
      <c r="E29" s="63">
        <v>0</v>
      </c>
      <c r="F29" s="63">
        <v>0</v>
      </c>
      <c r="G29" s="63">
        <f>SUM(C29:F29)</f>
        <v>16233.405</v>
      </c>
      <c r="H29" s="63">
        <f>H28+G29</f>
        <v>226003.23</v>
      </c>
      <c r="I29" s="63">
        <f>IFERROR(G29/POWER(1+0.00643403011,A29),0)</f>
        <v>14463.519671</v>
      </c>
    </row>
    <row r="30" ht="20" customHeight="1" spans="1:9" x14ac:dyDescent="0.25">
      <c r="A30" s="65">
        <v>19</v>
      </c>
      <c r="B30" s="66" t="s">
        <v>120</v>
      </c>
      <c r="C30" s="67">
        <v>10720.755</v>
      </c>
      <c r="D30" s="67">
        <v>5512.65</v>
      </c>
      <c r="E30" s="67">
        <v>0</v>
      </c>
      <c r="F30" s="67">
        <v>0</v>
      </c>
      <c r="G30" s="67">
        <f>SUM(C30:F30)</f>
        <v>16233.405</v>
      </c>
      <c r="H30" s="67">
        <f>H29+G30</f>
        <v>242236.635</v>
      </c>
      <c r="I30" s="67">
        <f>IFERROR(G30/POWER(1+0.00643403011,A30),0)</f>
        <v>14371.055865</v>
      </c>
    </row>
    <row r="31" ht="20" customHeight="1" spans="1:9" x14ac:dyDescent="0.25">
      <c r="A31" s="68">
        <v>20</v>
      </c>
      <c r="B31" s="69" t="s">
        <v>121</v>
      </c>
      <c r="C31" s="63">
        <v>10720.755</v>
      </c>
      <c r="D31" s="63">
        <v>5512.65</v>
      </c>
      <c r="E31" s="63">
        <v>0</v>
      </c>
      <c r="F31" s="63">
        <v>0</v>
      </c>
      <c r="G31" s="63">
        <f>SUM(C31:F31)</f>
        <v>16233.405</v>
      </c>
      <c r="H31" s="63">
        <f>H30+G31</f>
        <v>258470.04</v>
      </c>
      <c r="I31" s="63">
        <f>IFERROR(G31/POWER(1+0.00643403011,A31),0)</f>
        <v>14279.18317</v>
      </c>
    </row>
    <row r="32" ht="20" customHeight="1" spans="1:9" x14ac:dyDescent="0.25">
      <c r="A32" s="65">
        <v>21</v>
      </c>
      <c r="B32" s="66" t="s">
        <v>122</v>
      </c>
      <c r="C32" s="67">
        <v>10720.755</v>
      </c>
      <c r="D32" s="67">
        <v>5512.65</v>
      </c>
      <c r="E32" s="67">
        <v>0</v>
      </c>
      <c r="F32" s="67">
        <v>0</v>
      </c>
      <c r="G32" s="67">
        <f>SUM(C32:F32)</f>
        <v>16233.405</v>
      </c>
      <c r="H32" s="67">
        <f>H31+G32</f>
        <v>274703.445</v>
      </c>
      <c r="I32" s="67">
        <f>IFERROR(G32/POWER(1+0.00643403011,A32),0)</f>
        <v>14187.897808</v>
      </c>
    </row>
    <row r="33" ht="20" customHeight="1" spans="1:9" x14ac:dyDescent="0.25">
      <c r="A33" s="68">
        <v>22</v>
      </c>
      <c r="B33" s="69" t="s">
        <v>123</v>
      </c>
      <c r="C33" s="63">
        <v>10720.755</v>
      </c>
      <c r="D33" s="63">
        <v>5512.65</v>
      </c>
      <c r="E33" s="63">
        <v>0</v>
      </c>
      <c r="F33" s="63">
        <v>0</v>
      </c>
      <c r="G33" s="63">
        <f>SUM(C33:F33)</f>
        <v>16233.405</v>
      </c>
      <c r="H33" s="63">
        <f>H32+G33</f>
        <v>290936.85</v>
      </c>
      <c r="I33" s="63">
        <f>IFERROR(G33/POWER(1+0.00643403011,A33),0)</f>
        <v>14097.196025</v>
      </c>
    </row>
    <row r="34" ht="20" customHeight="1" spans="1:9" x14ac:dyDescent="0.25">
      <c r="A34" s="65">
        <v>23</v>
      </c>
      <c r="B34" s="66" t="s">
        <v>124</v>
      </c>
      <c r="C34" s="67">
        <v>10720.755</v>
      </c>
      <c r="D34" s="67">
        <v>5512.65</v>
      </c>
      <c r="E34" s="67">
        <v>0</v>
      </c>
      <c r="F34" s="67">
        <v>0</v>
      </c>
      <c r="G34" s="67">
        <f>SUM(C34:F34)</f>
        <v>16233.405</v>
      </c>
      <c r="H34" s="67">
        <f>H33+G34</f>
        <v>307170.255</v>
      </c>
      <c r="I34" s="67">
        <f>IFERROR(G34/POWER(1+0.00643403011,A34),0)</f>
        <v>14007.074088</v>
      </c>
    </row>
    <row r="35" ht="20" customHeight="1" spans="1:9" x14ac:dyDescent="0.25">
      <c r="A35" s="68">
        <v>24</v>
      </c>
      <c r="B35" s="69" t="s">
        <v>125</v>
      </c>
      <c r="C35" s="63">
        <v>10720.755</v>
      </c>
      <c r="D35" s="63">
        <v>5512.65</v>
      </c>
      <c r="E35" s="63">
        <v>0</v>
      </c>
      <c r="F35" s="63">
        <v>0</v>
      </c>
      <c r="G35" s="63">
        <f>SUM(C35:F35)</f>
        <v>16233.405</v>
      </c>
      <c r="H35" s="63">
        <f>H34+G35</f>
        <v>323403.66</v>
      </c>
      <c r="I35" s="63">
        <f>IFERROR(G35/POWER(1+0.00643403011,A35),0)</f>
        <v>13917.528292</v>
      </c>
    </row>
    <row r="36" ht="20" customHeight="1" spans="1:9" x14ac:dyDescent="0.25">
      <c r="A36" s="65">
        <v>25</v>
      </c>
      <c r="B36" s="66" t="s">
        <v>126</v>
      </c>
      <c r="C36" s="67">
        <v>11040.72</v>
      </c>
      <c r="D36" s="67">
        <v>5512.65</v>
      </c>
      <c r="E36" s="67">
        <v>0</v>
      </c>
      <c r="F36" s="67">
        <v>0</v>
      </c>
      <c r="G36" s="67">
        <f>SUM(C36:F36)</f>
        <v>16553.37</v>
      </c>
      <c r="H36" s="67">
        <f>H35+G36</f>
        <v>339957.03</v>
      </c>
      <c r="I36" s="67">
        <f>IFERROR(G36/POWER(1+0.00643403011,A36),0)</f>
        <v>14101.119679</v>
      </c>
    </row>
    <row r="37" ht="20" customHeight="1" spans="1:9" x14ac:dyDescent="0.25">
      <c r="A37" s="68">
        <v>26</v>
      </c>
      <c r="B37" s="69" t="s">
        <v>127</v>
      </c>
      <c r="C37" s="63">
        <v>11040.72</v>
      </c>
      <c r="D37" s="63">
        <v>5512.65</v>
      </c>
      <c r="E37" s="63">
        <v>0</v>
      </c>
      <c r="F37" s="63">
        <v>0</v>
      </c>
      <c r="G37" s="63">
        <f>SUM(C37:F37)</f>
        <v>16553.37</v>
      </c>
      <c r="H37" s="63">
        <f>H36+G37</f>
        <v>356510.4</v>
      </c>
      <c r="I37" s="63">
        <f>IFERROR(G37/POWER(1+0.00643403011,A37),0)</f>
        <v>14010.972659</v>
      </c>
    </row>
    <row r="38" ht="20" customHeight="1" spans="1:9" x14ac:dyDescent="0.25">
      <c r="A38" s="65">
        <v>27</v>
      </c>
      <c r="B38" s="66" t="s">
        <v>128</v>
      </c>
      <c r="C38" s="67">
        <v>11040.72</v>
      </c>
      <c r="D38" s="67">
        <v>5512.65</v>
      </c>
      <c r="E38" s="67">
        <v>0</v>
      </c>
      <c r="F38" s="67">
        <v>0</v>
      </c>
      <c r="G38" s="67">
        <f>SUM(C38:F38)</f>
        <v>16553.37</v>
      </c>
      <c r="H38" s="67">
        <f>H37+G38</f>
        <v>373063.77</v>
      </c>
      <c r="I38" s="67">
        <f>IFERROR(G38/POWER(1+0.00643403011,A38),0)</f>
        <v>13921.40194</v>
      </c>
    </row>
    <row r="39" ht="20" customHeight="1" spans="1:9" x14ac:dyDescent="0.25">
      <c r="A39" s="68">
        <v>28</v>
      </c>
      <c r="B39" s="69" t="s">
        <v>129</v>
      </c>
      <c r="C39" s="63">
        <v>11040.72</v>
      </c>
      <c r="D39" s="63">
        <v>5512.65</v>
      </c>
      <c r="E39" s="63">
        <v>0</v>
      </c>
      <c r="F39" s="63">
        <v>0</v>
      </c>
      <c r="G39" s="63">
        <f>SUM(C39:F39)</f>
        <v>16553.37</v>
      </c>
      <c r="H39" s="63">
        <f>H38+G39</f>
        <v>389617.14</v>
      </c>
      <c r="I39" s="63">
        <f>IFERROR(G39/POWER(1+0.00643403011,A39),0)</f>
        <v>13832.403837</v>
      </c>
    </row>
    <row r="40" ht="20" customHeight="1" spans="1:9" x14ac:dyDescent="0.25">
      <c r="A40" s="65">
        <v>29</v>
      </c>
      <c r="B40" s="66" t="s">
        <v>130</v>
      </c>
      <c r="C40" s="67">
        <v>11040.72</v>
      </c>
      <c r="D40" s="67">
        <v>5512.65</v>
      </c>
      <c r="E40" s="67">
        <v>0</v>
      </c>
      <c r="F40" s="67">
        <v>0</v>
      </c>
      <c r="G40" s="67">
        <f>SUM(C40:F40)</f>
        <v>16553.37</v>
      </c>
      <c r="H40" s="67">
        <f>H39+G40</f>
        <v>406170.51</v>
      </c>
      <c r="I40" s="67">
        <f>IFERROR(G40/POWER(1+0.00643403011,A40),0)</f>
        <v>13743.97469</v>
      </c>
    </row>
    <row r="41" ht="20" customHeight="1" spans="1:9" x14ac:dyDescent="0.25">
      <c r="A41" s="68">
        <v>30</v>
      </c>
      <c r="B41" s="69" t="s">
        <v>131</v>
      </c>
      <c r="C41" s="63">
        <v>11040.72</v>
      </c>
      <c r="D41" s="63">
        <v>5512.65</v>
      </c>
      <c r="E41" s="63">
        <v>0</v>
      </c>
      <c r="F41" s="63">
        <v>0</v>
      </c>
      <c r="G41" s="63">
        <f>SUM(C41:F41)</f>
        <v>16553.37</v>
      </c>
      <c r="H41" s="63">
        <f>H40+G41</f>
        <v>422723.88</v>
      </c>
      <c r="I41" s="63">
        <f>IFERROR(G41/POWER(1+0.00643403011,A41),0)</f>
        <v>13656.110862</v>
      </c>
    </row>
    <row r="42" ht="20" customHeight="1" spans="1:9" x14ac:dyDescent="0.25">
      <c r="A42" s="65">
        <v>31</v>
      </c>
      <c r="B42" s="66" t="s">
        <v>132</v>
      </c>
      <c r="C42" s="67">
        <v>11040.72</v>
      </c>
      <c r="D42" s="67">
        <v>5512.65</v>
      </c>
      <c r="E42" s="67">
        <v>0</v>
      </c>
      <c r="F42" s="67">
        <v>0</v>
      </c>
      <c r="G42" s="67">
        <f>SUM(C42:F42)</f>
        <v>16553.37</v>
      </c>
      <c r="H42" s="67">
        <f>H41+G42</f>
        <v>439277.25</v>
      </c>
      <c r="I42" s="67">
        <f>IFERROR(G42/POWER(1+0.00643403011,A42),0)</f>
        <v>13568.808738</v>
      </c>
    </row>
    <row r="43" ht="20" customHeight="1" spans="1:9" x14ac:dyDescent="0.25">
      <c r="A43" s="68">
        <v>32</v>
      </c>
      <c r="B43" s="69" t="s">
        <v>133</v>
      </c>
      <c r="C43" s="63">
        <v>11040.72</v>
      </c>
      <c r="D43" s="63">
        <v>5512.65</v>
      </c>
      <c r="E43" s="63">
        <v>0</v>
      </c>
      <c r="F43" s="63">
        <v>0</v>
      </c>
      <c r="G43" s="63">
        <f>SUM(C43:F43)</f>
        <v>16553.37</v>
      </c>
      <c r="H43" s="63">
        <f>H42+G43</f>
        <v>455830.62</v>
      </c>
      <c r="I43" s="63">
        <f>IFERROR(G43/POWER(1+0.00643403011,A43),0)</f>
        <v>13482.064727</v>
      </c>
    </row>
    <row r="44" ht="20" customHeight="1" spans="1:9" x14ac:dyDescent="0.25">
      <c r="A44" s="65">
        <v>33</v>
      </c>
      <c r="B44" s="66" t="s">
        <v>134</v>
      </c>
      <c r="C44" s="67">
        <v>11040.72</v>
      </c>
      <c r="D44" s="67">
        <v>5512.65</v>
      </c>
      <c r="E44" s="67">
        <v>0</v>
      </c>
      <c r="F44" s="67">
        <v>0</v>
      </c>
      <c r="G44" s="67">
        <f>SUM(C44:F44)</f>
        <v>16553.37</v>
      </c>
      <c r="H44" s="67">
        <f>H43+G44</f>
        <v>472383.99</v>
      </c>
      <c r="I44" s="67">
        <f>IFERROR(G44/POWER(1+0.00643403011,A44),0)</f>
        <v>13395.875263</v>
      </c>
    </row>
    <row r="45" ht="20" customHeight="1" spans="1:9" x14ac:dyDescent="0.25">
      <c r="A45" s="68">
        <v>34</v>
      </c>
      <c r="B45" s="69" t="s">
        <v>135</v>
      </c>
      <c r="C45" s="63">
        <v>11040.72</v>
      </c>
      <c r="D45" s="63">
        <v>5512.65</v>
      </c>
      <c r="E45" s="63">
        <v>0</v>
      </c>
      <c r="F45" s="63">
        <v>0</v>
      </c>
      <c r="G45" s="63">
        <f>SUM(C45:F45)</f>
        <v>16553.37</v>
      </c>
      <c r="H45" s="63">
        <f>H44+G45</f>
        <v>488937.36</v>
      </c>
      <c r="I45" s="63">
        <f>IFERROR(G45/POWER(1+0.00643403011,A45),0)</f>
        <v>13310.236798</v>
      </c>
    </row>
    <row r="46" ht="20" customHeight="1" spans="1:9" x14ac:dyDescent="0.25">
      <c r="A46" s="65">
        <v>35</v>
      </c>
      <c r="B46" s="66" t="s">
        <v>136</v>
      </c>
      <c r="C46" s="67">
        <v>11040.72</v>
      </c>
      <c r="D46" s="67">
        <v>5512.65</v>
      </c>
      <c r="E46" s="67">
        <v>0</v>
      </c>
      <c r="F46" s="67">
        <v>0</v>
      </c>
      <c r="G46" s="67">
        <f>SUM(C46:F46)</f>
        <v>16553.37</v>
      </c>
      <c r="H46" s="67">
        <f>H45+G46</f>
        <v>505490.73</v>
      </c>
      <c r="I46" s="67">
        <f>IFERROR(G46/POWER(1+0.00643403011,A46),0)</f>
        <v>13225.145812</v>
      </c>
    </row>
    <row r="47" ht="20" customHeight="1" spans="1:9" x14ac:dyDescent="0.25">
      <c r="A47" s="68">
        <v>36</v>
      </c>
      <c r="B47" s="69" t="s">
        <v>137</v>
      </c>
      <c r="C47" s="63">
        <v>11040.72</v>
      </c>
      <c r="D47" s="63">
        <v>5512.65</v>
      </c>
      <c r="E47" s="63">
        <v>0</v>
      </c>
      <c r="F47" s="63">
        <v>0</v>
      </c>
      <c r="G47" s="63">
        <f>SUM(C47:F47)</f>
        <v>16553.37</v>
      </c>
      <c r="H47" s="63">
        <f>H46+G47</f>
        <v>522044.1</v>
      </c>
      <c r="I47" s="63">
        <f>IFERROR(G47/POWER(1+0.00643403011,A47),0)</f>
        <v>13140.598804</v>
      </c>
    </row>
    <row r="48" ht="20" customHeight="1" spans="1:9" x14ac:dyDescent="0.25">
      <c r="A48" s="65">
        <v>37</v>
      </c>
      <c r="B48" s="66" t="s">
        <v>138</v>
      </c>
      <c r="C48" s="67">
        <v>11372.25</v>
      </c>
      <c r="D48" s="67">
        <v>5512.65</v>
      </c>
      <c r="E48" s="67">
        <v>0</v>
      </c>
      <c r="F48" s="67">
        <v>0</v>
      </c>
      <c r="G48" s="67">
        <f>SUM(C48:F48)</f>
        <v>16884.9</v>
      </c>
      <c r="H48" s="67">
        <f>H47+G48</f>
        <v>538929</v>
      </c>
      <c r="I48" s="67">
        <f>IFERROR(G48/POWER(1+0.00643403011,A48),0)</f>
        <v>13318.089021</v>
      </c>
    </row>
    <row r="49" ht="20" customHeight="1" spans="1:9" x14ac:dyDescent="0.25">
      <c r="A49" s="68">
        <v>38</v>
      </c>
      <c r="B49" s="69" t="s">
        <v>139</v>
      </c>
      <c r="C49" s="63">
        <v>11372.25</v>
      </c>
      <c r="D49" s="63">
        <v>5512.65</v>
      </c>
      <c r="E49" s="63">
        <v>0</v>
      </c>
      <c r="F49" s="63">
        <v>0</v>
      </c>
      <c r="G49" s="63">
        <f>SUM(C49:F49)</f>
        <v>16884.9</v>
      </c>
      <c r="H49" s="63">
        <f>H48+G49</f>
        <v>555813.9</v>
      </c>
      <c r="I49" s="63">
        <f>IFERROR(G49/POWER(1+0.00643403011,A49),0)</f>
        <v>13232.947836</v>
      </c>
    </row>
    <row r="50" ht="20" customHeight="1" spans="1:9" x14ac:dyDescent="0.25">
      <c r="A50" s="65">
        <v>39</v>
      </c>
      <c r="B50" s="66" t="s">
        <v>140</v>
      </c>
      <c r="C50" s="67">
        <v>11372.25</v>
      </c>
      <c r="D50" s="67">
        <v>5512.65</v>
      </c>
      <c r="E50" s="67">
        <v>0</v>
      </c>
      <c r="F50" s="67">
        <v>0</v>
      </c>
      <c r="G50" s="67">
        <f>SUM(C50:F50)</f>
        <v>16884.9</v>
      </c>
      <c r="H50" s="67">
        <f>H49+G50</f>
        <v>572698.8</v>
      </c>
      <c r="I50" s="67">
        <f>IFERROR(G50/POWER(1+0.00643403011,A50),0)</f>
        <v>13148.35095</v>
      </c>
    </row>
    <row r="51" ht="20" customHeight="1" spans="1:9" x14ac:dyDescent="0.25">
      <c r="A51" s="68">
        <v>40</v>
      </c>
      <c r="B51" s="69" t="s">
        <v>141</v>
      </c>
      <c r="C51" s="63">
        <v>11372.25</v>
      </c>
      <c r="D51" s="63">
        <v>5512.65</v>
      </c>
      <c r="E51" s="63">
        <v>0</v>
      </c>
      <c r="F51" s="63">
        <v>0</v>
      </c>
      <c r="G51" s="63">
        <f>SUM(C51:F51)</f>
        <v>16884.9</v>
      </c>
      <c r="H51" s="63">
        <f>H50+G51</f>
        <v>589583.7</v>
      </c>
      <c r="I51" s="63">
        <f>IFERROR(G51/POWER(1+0.00643403011,A51),0)</f>
        <v>13064.294883</v>
      </c>
    </row>
    <row r="52" ht="20" customHeight="1" spans="1:9" x14ac:dyDescent="0.25">
      <c r="A52" s="65">
        <v>41</v>
      </c>
      <c r="B52" s="66" t="s">
        <v>142</v>
      </c>
      <c r="C52" s="67">
        <v>11372.25</v>
      </c>
      <c r="D52" s="67">
        <v>5512.65</v>
      </c>
      <c r="E52" s="67">
        <v>0</v>
      </c>
      <c r="F52" s="67">
        <v>0</v>
      </c>
      <c r="G52" s="67">
        <f>SUM(C52:F52)</f>
        <v>16884.9</v>
      </c>
      <c r="H52" s="67">
        <f>H51+G52</f>
        <v>606468.6</v>
      </c>
      <c r="I52" s="67">
        <f>IFERROR(G52/POWER(1+0.00643403011,A52),0)</f>
        <v>12980.776178</v>
      </c>
    </row>
    <row r="53" ht="20" customHeight="1" spans="1:9" x14ac:dyDescent="0.25">
      <c r="A53" s="68">
        <v>42</v>
      </c>
      <c r="B53" s="69" t="s">
        <v>143</v>
      </c>
      <c r="C53" s="63">
        <v>11372.25</v>
      </c>
      <c r="D53" s="63">
        <v>5512.65</v>
      </c>
      <c r="E53" s="63">
        <v>0</v>
      </c>
      <c r="F53" s="63">
        <v>0</v>
      </c>
      <c r="G53" s="63">
        <f>SUM(C53:F53)</f>
        <v>16884.9</v>
      </c>
      <c r="H53" s="63">
        <f>H52+G53</f>
        <v>623353.5</v>
      </c>
      <c r="I53" s="63">
        <f>IFERROR(G53/POWER(1+0.00643403011,A53),0)</f>
        <v>12897.7914</v>
      </c>
    </row>
    <row r="54" ht="20" customHeight="1" spans="1:9" x14ac:dyDescent="0.25">
      <c r="A54" s="65">
        <v>43</v>
      </c>
      <c r="B54" s="66" t="s">
        <v>144</v>
      </c>
      <c r="C54" s="67">
        <v>11372.25</v>
      </c>
      <c r="D54" s="67">
        <v>5512.65</v>
      </c>
      <c r="E54" s="67">
        <v>0</v>
      </c>
      <c r="F54" s="67">
        <v>0</v>
      </c>
      <c r="G54" s="67">
        <f>SUM(C54:F54)</f>
        <v>16884.9</v>
      </c>
      <c r="H54" s="67">
        <f>H53+G54</f>
        <v>640238.4</v>
      </c>
      <c r="I54" s="67">
        <f>IFERROR(G54/POWER(1+0.00643403011,A54),0)</f>
        <v>12815.337135</v>
      </c>
    </row>
    <row r="55" ht="20" customHeight="1" spans="1:9" x14ac:dyDescent="0.25">
      <c r="A55" s="68">
        <v>44</v>
      </c>
      <c r="B55" s="69" t="s">
        <v>145</v>
      </c>
      <c r="C55" s="63">
        <v>11372.25</v>
      </c>
      <c r="D55" s="63">
        <v>5512.65</v>
      </c>
      <c r="E55" s="63">
        <v>0</v>
      </c>
      <c r="F55" s="63">
        <v>0</v>
      </c>
      <c r="G55" s="63">
        <f>SUM(C55:F55)</f>
        <v>16884.9</v>
      </c>
      <c r="H55" s="63">
        <f>H54+G55</f>
        <v>657123.3</v>
      </c>
      <c r="I55" s="63">
        <f>IFERROR(G55/POWER(1+0.00643403011,A55),0)</f>
        <v>12733.409992</v>
      </c>
    </row>
    <row r="56" ht="20" customHeight="1" spans="1:9" x14ac:dyDescent="0.25">
      <c r="A56" s="65">
        <v>45</v>
      </c>
      <c r="B56" s="66" t="s">
        <v>146</v>
      </c>
      <c r="C56" s="67">
        <v>11372.25</v>
      </c>
      <c r="D56" s="67">
        <v>5512.65</v>
      </c>
      <c r="E56" s="67">
        <v>0</v>
      </c>
      <c r="F56" s="67">
        <v>0</v>
      </c>
      <c r="G56" s="67">
        <f>SUM(C56:F56)</f>
        <v>16884.9</v>
      </c>
      <c r="H56" s="67">
        <f>H55+G56</f>
        <v>674008.2</v>
      </c>
      <c r="I56" s="67">
        <f>IFERROR(G56/POWER(1+0.00643403011,A56),0)</f>
        <v>12652.006601</v>
      </c>
    </row>
    <row r="57" ht="20" customHeight="1" spans="1:9" x14ac:dyDescent="0.25">
      <c r="A57" s="68">
        <v>46</v>
      </c>
      <c r="B57" s="69" t="s">
        <v>147</v>
      </c>
      <c r="C57" s="63">
        <v>11372.25</v>
      </c>
      <c r="D57" s="63">
        <v>5512.65</v>
      </c>
      <c r="E57" s="63">
        <v>0</v>
      </c>
      <c r="F57" s="63">
        <v>0</v>
      </c>
      <c r="G57" s="63">
        <f>SUM(C57:F57)</f>
        <v>16884.9</v>
      </c>
      <c r="H57" s="63">
        <f>H56+G57</f>
        <v>690893.1</v>
      </c>
      <c r="I57" s="63">
        <f>IFERROR(G57/POWER(1+0.00643403011,A57),0)</f>
        <v>12571.123613</v>
      </c>
    </row>
    <row r="58" ht="20" customHeight="1" spans="1:9" x14ac:dyDescent="0.25">
      <c r="A58" s="65">
        <v>47</v>
      </c>
      <c r="B58" s="66" t="s">
        <v>148</v>
      </c>
      <c r="C58" s="67">
        <v>11372.25</v>
      </c>
      <c r="D58" s="67">
        <v>5512.65</v>
      </c>
      <c r="E58" s="67">
        <v>0</v>
      </c>
      <c r="F58" s="67">
        <v>0</v>
      </c>
      <c r="G58" s="67">
        <f>SUM(C58:F58)</f>
        <v>16884.9</v>
      </c>
      <c r="H58" s="67">
        <f>H57+G58</f>
        <v>707778</v>
      </c>
      <c r="I58" s="67">
        <f>IFERROR(G58/POWER(1+0.00643403011,A58),0)</f>
        <v>12490.757702</v>
      </c>
    </row>
    <row r="59" ht="20" customHeight="1" spans="1:9" x14ac:dyDescent="0.25">
      <c r="A59" s="68">
        <v>48</v>
      </c>
      <c r="B59" s="69" t="s">
        <v>149</v>
      </c>
      <c r="C59" s="63">
        <v>11372.25</v>
      </c>
      <c r="D59" s="63">
        <v>5512.65</v>
      </c>
      <c r="E59" s="63">
        <v>0</v>
      </c>
      <c r="F59" s="63">
        <v>0</v>
      </c>
      <c r="G59" s="63">
        <f>SUM(C59:F59)</f>
        <v>16884.9</v>
      </c>
      <c r="H59" s="63">
        <f>H58+G59</f>
        <v>724662.9</v>
      </c>
      <c r="I59" s="63">
        <f>IFERROR(G59/POWER(1+0.00643403011,A59),0)</f>
        <v>12410.905561</v>
      </c>
    </row>
    <row r="60" ht="20" customHeight="1" spans="1:9" x14ac:dyDescent="0.25">
      <c r="A60" s="65">
        <v>49</v>
      </c>
      <c r="B60" s="66" t="s">
        <v>150</v>
      </c>
      <c r="C60" s="67">
        <v>11715.345</v>
      </c>
      <c r="D60" s="67">
        <v>5512.65</v>
      </c>
      <c r="E60" s="67">
        <v>0</v>
      </c>
      <c r="F60" s="67">
        <v>0</v>
      </c>
      <c r="G60" s="67">
        <f>SUM(C60:F60)</f>
        <v>17227.995</v>
      </c>
      <c r="H60" s="67">
        <f>H59+G60</f>
        <v>741890.895</v>
      </c>
      <c r="I60" s="67">
        <f>IFERROR(G60/POWER(1+0.00643403011,A60),0)</f>
        <v>12582.136782</v>
      </c>
    </row>
    <row r="61" ht="20" customHeight="1" spans="1:9" x14ac:dyDescent="0.25">
      <c r="A61" s="68">
        <v>50</v>
      </c>
      <c r="B61" s="69" t="s">
        <v>151</v>
      </c>
      <c r="C61" s="63">
        <v>11715.345</v>
      </c>
      <c r="D61" s="63">
        <v>5512.65</v>
      </c>
      <c r="E61" s="63">
        <v>0</v>
      </c>
      <c r="F61" s="63">
        <v>0</v>
      </c>
      <c r="G61" s="63">
        <f>SUM(C61:F61)</f>
        <v>17227.995</v>
      </c>
      <c r="H61" s="63">
        <f>H60+G61</f>
        <v>759118.89</v>
      </c>
      <c r="I61" s="63">
        <f>IFERROR(G61/POWER(1+0.00643403011,A61),0)</f>
        <v>12501.700465</v>
      </c>
    </row>
    <row r="62" ht="20" customHeight="1" spans="1:9" x14ac:dyDescent="0.25">
      <c r="A62" s="65">
        <v>51</v>
      </c>
      <c r="B62" s="66" t="s">
        <v>152</v>
      </c>
      <c r="C62" s="67">
        <v>11715.345</v>
      </c>
      <c r="D62" s="67">
        <v>5512.65</v>
      </c>
      <c r="E62" s="67">
        <v>0</v>
      </c>
      <c r="F62" s="67">
        <v>0</v>
      </c>
      <c r="G62" s="67">
        <f>SUM(C62:F62)</f>
        <v>17227.995</v>
      </c>
      <c r="H62" s="67">
        <f>H61+G62</f>
        <v>776346.885</v>
      </c>
      <c r="I62" s="67">
        <f>IFERROR(G62/POWER(1+0.00643403011,A62),0)</f>
        <v>12421.778369</v>
      </c>
    </row>
    <row r="63" ht="20" customHeight="1" spans="1:9" x14ac:dyDescent="0.25">
      <c r="A63" s="68">
        <v>52</v>
      </c>
      <c r="B63" s="69" t="s">
        <v>153</v>
      </c>
      <c r="C63" s="63">
        <v>11715.345</v>
      </c>
      <c r="D63" s="63">
        <v>5512.65</v>
      </c>
      <c r="E63" s="63">
        <v>0</v>
      </c>
      <c r="F63" s="63">
        <v>0</v>
      </c>
      <c r="G63" s="63">
        <f>SUM(C63:F63)</f>
        <v>17227.995</v>
      </c>
      <c r="H63" s="63">
        <f>H62+G63</f>
        <v>793574.88</v>
      </c>
      <c r="I63" s="63">
        <f>IFERROR(G63/POWER(1+0.00643403011,A63),0)</f>
        <v>12342.367206</v>
      </c>
    </row>
    <row r="64" ht="20" customHeight="1" spans="1:9" x14ac:dyDescent="0.25">
      <c r="A64" s="65">
        <v>53</v>
      </c>
      <c r="B64" s="66" t="s">
        <v>154</v>
      </c>
      <c r="C64" s="67">
        <v>11715.345</v>
      </c>
      <c r="D64" s="67">
        <v>5512.65</v>
      </c>
      <c r="E64" s="67">
        <v>0</v>
      </c>
      <c r="F64" s="67">
        <v>0</v>
      </c>
      <c r="G64" s="67">
        <f>SUM(C64:F64)</f>
        <v>17227.995</v>
      </c>
      <c r="H64" s="67">
        <f>H63+G64</f>
        <v>810802.875</v>
      </c>
      <c r="I64" s="67">
        <f>IFERROR(G64/POWER(1+0.00643403011,A64),0)</f>
        <v>12263.463712</v>
      </c>
    </row>
    <row r="65" ht="20" customHeight="1" spans="1:9" x14ac:dyDescent="0.25">
      <c r="A65" s="68">
        <v>54</v>
      </c>
      <c r="B65" s="69" t="s">
        <v>155</v>
      </c>
      <c r="C65" s="63">
        <v>11715.345</v>
      </c>
      <c r="D65" s="63">
        <v>5512.65</v>
      </c>
      <c r="E65" s="63">
        <v>0</v>
      </c>
      <c r="F65" s="63">
        <v>0</v>
      </c>
      <c r="G65" s="63">
        <f>SUM(C65:F65)</f>
        <v>17227.995</v>
      </c>
      <c r="H65" s="63">
        <f>H64+G65</f>
        <v>828030.87</v>
      </c>
      <c r="I65" s="63">
        <f>IFERROR(G65/POWER(1+0.00643403011,A65),0)</f>
        <v>12185.064639</v>
      </c>
    </row>
    <row r="66" ht="20" customHeight="1" spans="1:9" x14ac:dyDescent="0.25">
      <c r="A66" s="65">
        <v>55</v>
      </c>
      <c r="B66" s="66" t="s">
        <v>156</v>
      </c>
      <c r="C66" s="67">
        <v>11715.345</v>
      </c>
      <c r="D66" s="67">
        <v>5512.65</v>
      </c>
      <c r="E66" s="67">
        <v>0</v>
      </c>
      <c r="F66" s="67">
        <v>0</v>
      </c>
      <c r="G66" s="67">
        <f>SUM(C66:F66)</f>
        <v>17227.995</v>
      </c>
      <c r="H66" s="67">
        <f>H65+G66</f>
        <v>845258.865</v>
      </c>
      <c r="I66" s="67">
        <f>IFERROR(G66/POWER(1+0.00643403011,A66),0)</f>
        <v>12107.166763</v>
      </c>
    </row>
    <row r="67" ht="20" customHeight="1" spans="1:9" x14ac:dyDescent="0.25">
      <c r="A67" s="68">
        <v>56</v>
      </c>
      <c r="B67" s="69" t="s">
        <v>157</v>
      </c>
      <c r="C67" s="63">
        <v>11715.345</v>
      </c>
      <c r="D67" s="63">
        <v>5512.65</v>
      </c>
      <c r="E67" s="63">
        <v>0</v>
      </c>
      <c r="F67" s="63">
        <v>0</v>
      </c>
      <c r="G67" s="63">
        <f>SUM(C67:F67)</f>
        <v>17227.995</v>
      </c>
      <c r="H67" s="63">
        <f>H66+G67</f>
        <v>862486.86</v>
      </c>
      <c r="I67" s="63">
        <f>IFERROR(G67/POWER(1+0.00643403011,A67),0)</f>
        <v>12029.766881</v>
      </c>
    </row>
    <row r="68" ht="20" customHeight="1" spans="1:9" x14ac:dyDescent="0.25">
      <c r="A68" s="65">
        <v>57</v>
      </c>
      <c r="B68" s="66" t="s">
        <v>158</v>
      </c>
      <c r="C68" s="67">
        <v>11715.345</v>
      </c>
      <c r="D68" s="67">
        <v>5512.65</v>
      </c>
      <c r="E68" s="67">
        <v>0</v>
      </c>
      <c r="F68" s="67">
        <v>0</v>
      </c>
      <c r="G68" s="67">
        <f>SUM(C68:F68)</f>
        <v>17227.995</v>
      </c>
      <c r="H68" s="67">
        <f>H67+G68</f>
        <v>879714.855</v>
      </c>
      <c r="I68" s="67">
        <f>IFERROR(G68/POWER(1+0.00643403011,A68),0)</f>
        <v>11952.861808</v>
      </c>
    </row>
    <row r="69" ht="20" customHeight="1" spans="1:9" x14ac:dyDescent="0.25">
      <c r="A69" s="68">
        <v>58</v>
      </c>
      <c r="B69" s="69" t="s">
        <v>159</v>
      </c>
      <c r="C69" s="63">
        <v>11715.345</v>
      </c>
      <c r="D69" s="63">
        <v>5512.65</v>
      </c>
      <c r="E69" s="63">
        <v>0</v>
      </c>
      <c r="F69" s="63">
        <v>0</v>
      </c>
      <c r="G69" s="63">
        <f>SUM(C69:F69)</f>
        <v>17227.995</v>
      </c>
      <c r="H69" s="63">
        <f>H68+G69</f>
        <v>896942.85</v>
      </c>
      <c r="I69" s="63">
        <f>IFERROR(G69/POWER(1+0.00643403011,A69),0)</f>
        <v>11876.448382</v>
      </c>
    </row>
    <row r="70" ht="20" customHeight="1" spans="1:9" x14ac:dyDescent="0.25">
      <c r="A70" s="65">
        <v>59</v>
      </c>
      <c r="B70" s="66" t="s">
        <v>160</v>
      </c>
      <c r="C70" s="67">
        <v>11715.345</v>
      </c>
      <c r="D70" s="67">
        <v>5512.65</v>
      </c>
      <c r="E70" s="67">
        <v>0</v>
      </c>
      <c r="F70" s="67">
        <v>0</v>
      </c>
      <c r="G70" s="67">
        <f>SUM(C70:F70)</f>
        <v>17227.995</v>
      </c>
      <c r="H70" s="67">
        <f>H69+G70</f>
        <v>914170.845</v>
      </c>
      <c r="I70" s="67">
        <f>IFERROR(G70/POWER(1+0.00643403011,A70),0)</f>
        <v>11800.523459</v>
      </c>
    </row>
    <row r="71" ht="20" customHeight="1" spans="1:9" x14ac:dyDescent="0.25">
      <c r="A71" s="68">
        <v>60</v>
      </c>
      <c r="B71" s="69" t="s">
        <v>161</v>
      </c>
      <c r="C71" s="63">
        <v>11715.345</v>
      </c>
      <c r="D71" s="63">
        <v>5512.65</v>
      </c>
      <c r="E71" s="63">
        <v>0</v>
      </c>
      <c r="F71" s="63">
        <v>0</v>
      </c>
      <c r="G71" s="63">
        <f>SUM(C71:F71)</f>
        <v>17227.995</v>
      </c>
      <c r="H71" s="63">
        <f>H70+G71</f>
        <v>931398.84</v>
      </c>
      <c r="I71" s="63">
        <f>IFERROR(G71/POWER(1+0.00643403011,A71),0)</f>
        <v>11725.083916</v>
      </c>
    </row>
    <row r="72" ht="20" customHeight="1" spans="1:9" x14ac:dyDescent="0.25">
      <c r="A72" s="65">
        <v>61</v>
      </c>
      <c r="B72" s="66" t="s">
        <v>162</v>
      </c>
      <c r="C72" s="67">
        <v>12066.15</v>
      </c>
      <c r="D72" s="67">
        <v>5512.65</v>
      </c>
      <c r="E72" s="67">
        <v>0</v>
      </c>
      <c r="F72" s="67">
        <v>0</v>
      </c>
      <c r="G72" s="67">
        <f>SUM(C72:F72)</f>
        <v>17578.8</v>
      </c>
      <c r="H72" s="67">
        <f>H71+G72</f>
        <v>948977.64</v>
      </c>
      <c r="I72" s="67">
        <f>IFERROR(G72/POWER(1+0.00643403011,A72),0)</f>
        <v>11887.352321</v>
      </c>
    </row>
    <row r="73" ht="20" customHeight="1" spans="1:9" x14ac:dyDescent="0.25">
      <c r="A73" s="68">
        <v>62</v>
      </c>
      <c r="B73" s="69" t="s">
        <v>163</v>
      </c>
      <c r="C73" s="63">
        <v>12066.15</v>
      </c>
      <c r="D73" s="63">
        <v>5512.65</v>
      </c>
      <c r="E73" s="63">
        <v>0</v>
      </c>
      <c r="F73" s="63">
        <v>0</v>
      </c>
      <c r="G73" s="63">
        <f>SUM(C73:F73)</f>
        <v>17578.8</v>
      </c>
      <c r="H73" s="63">
        <f>H72+G73</f>
        <v>966556.44</v>
      </c>
      <c r="I73" s="63">
        <f>IFERROR(G73/POWER(1+0.00643403011,A73),0)</f>
        <v>11811.35769</v>
      </c>
    </row>
    <row r="74" ht="20" customHeight="1" spans="1:9" x14ac:dyDescent="0.25">
      <c r="A74" s="65">
        <v>63</v>
      </c>
      <c r="B74" s="66" t="s">
        <v>164</v>
      </c>
      <c r="C74" s="67">
        <v>12066.15</v>
      </c>
      <c r="D74" s="67">
        <v>5512.65</v>
      </c>
      <c r="E74" s="67">
        <v>0</v>
      </c>
      <c r="F74" s="67">
        <v>0</v>
      </c>
      <c r="G74" s="67">
        <f>SUM(C74:F74)</f>
        <v>17578.8</v>
      </c>
      <c r="H74" s="67">
        <f>H73+G74</f>
        <v>984135.24</v>
      </c>
      <c r="I74" s="67">
        <f>IFERROR(G74/POWER(1+0.00643403011,A74),0)</f>
        <v>11735.848885</v>
      </c>
    </row>
    <row r="75" ht="20" customHeight="1" spans="1:9" x14ac:dyDescent="0.25">
      <c r="A75" s="70" t="s">
        <v>1</v>
      </c>
      <c r="B75" s="55" t="s">
        <v>217</v>
      </c>
      <c r="C75" s="56">
        <f>SUM(C9:C74)</f>
      </c>
      <c r="D75" s="56">
        <f>SUM(D9:D74)</f>
      </c>
      <c r="E75" s="56">
        <f>SUM(E9:E74)</f>
      </c>
      <c r="F75" s="56">
        <f>SUM(F9:F74)</f>
      </c>
      <c r="G75" s="56">
        <f>SUM(G9:G74)</f>
      </c>
      <c r="H75" s="56">
        <f>SUM(H9:H74)</f>
      </c>
      <c r="I75" s="56">
        <f>SUM(I9:I74)</f>
      </c>
    </row>
  </sheetData>
  <mergeCells count="3">
    <mergeCell ref="A1:I2"/>
    <mergeCell ref="D3:F4"/>
    <mergeCell ref="A6:I6"/>
  </mergeCells>
  <pageMargins left="0.25" right="0.25" top="0.45" bottom="0.45" header="0.2" footer="0.2"/>
  <pageSetup paperSize="1" orientation="portrait" horizontalDpi="4294967295" verticalDpi="4294967295" scale="100" fitToWidth="1" fitToHeight="1"/>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0"/>
  <sheetViews>
    <sheetView workbookViewId="0" showGridLines="0" zoomScale="100" view="pageBreakPreview"/>
  </sheetViews>
  <sheetFormatPr defaultRowHeight="15" outlineLevelRow="0" outlineLevelCol="0" x14ac:dyDescent="55"/>
  <cols>
    <col min="1" max="1" width="10" customWidth="1"/>
    <col min="2" max="2" width="24" customWidth="1"/>
    <col min="3" max="6" width="14" customWidth="1"/>
    <col min="7" max="9" width="16" customWidth="1"/>
  </cols>
  <sheetData>
    <row r="1" ht="20" customHeight="1" spans="1:9" x14ac:dyDescent="0.25">
      <c r="A1" s="23" t="s">
        <v>220</v>
      </c>
      <c r="B1" s="23"/>
      <c r="C1" s="23"/>
      <c r="D1" s="23"/>
      <c r="E1" s="23"/>
      <c r="F1" s="23"/>
      <c r="G1" s="23"/>
      <c r="H1" s="23"/>
      <c r="I1" s="23"/>
    </row>
    <row r="2" ht="20" customHeight="1" spans="1:9" x14ac:dyDescent="0.25">
      <c r="A2" s="23"/>
      <c r="B2" s="23"/>
      <c r="C2" s="23"/>
      <c r="D2" s="23"/>
      <c r="E2" s="23"/>
      <c r="F2" s="23"/>
      <c r="G2" s="23"/>
      <c r="H2" s="23"/>
      <c r="I2" s="23"/>
    </row>
    <row r="3" ht="22" customHeight="1" spans="4:6" x14ac:dyDescent="0.25">
      <c r="D3" s="24" t="s">
        <v>22</v>
      </c>
      <c r="E3" s="24"/>
      <c r="F3" s="24"/>
    </row>
    <row r="4" ht="22" customHeight="1" spans="1:9" x14ac:dyDescent="0.25">
      <c r="A4" s="2"/>
      <c r="B4" s="2"/>
      <c r="C4" s="2"/>
      <c r="D4" s="24"/>
      <c r="E4" s="24"/>
      <c r="F4" s="24"/>
      <c r="G4" s="2"/>
      <c r="H4" s="2"/>
      <c r="I4" s="2"/>
    </row>
    <row r="6" ht="56" customHeight="1" spans="1:9" x14ac:dyDescent="0.25">
      <c r="A6" s="57" t="s">
        <v>221</v>
      </c>
      <c r="B6" s="57"/>
      <c r="C6" s="57"/>
      <c r="D6" s="57"/>
      <c r="E6" s="57"/>
      <c r="F6" s="57"/>
      <c r="G6" s="57"/>
      <c r="H6" s="57"/>
      <c r="I6" s="57"/>
    </row>
    <row r="7" ht="20" customHeight="1" x14ac:dyDescent="0.25"/>
    <row r="8" ht="20" customHeight="1" spans="1:9" x14ac:dyDescent="0.25">
      <c r="A8" s="42" t="s">
        <v>89</v>
      </c>
      <c r="B8" s="42" t="s">
        <v>90</v>
      </c>
      <c r="C8" s="42" t="s">
        <v>210</v>
      </c>
      <c r="D8" s="42" t="s">
        <v>211</v>
      </c>
      <c r="E8" s="42" t="s">
        <v>212</v>
      </c>
      <c r="F8" s="42" t="s">
        <v>213</v>
      </c>
      <c r="G8" s="42" t="s">
        <v>214</v>
      </c>
      <c r="H8" s="42" t="s">
        <v>215</v>
      </c>
      <c r="I8" s="42" t="s">
        <v>216</v>
      </c>
    </row>
    <row r="9" ht="20" customHeight="1" spans="1:9" x14ac:dyDescent="0.25">
      <c r="A9" s="58">
        <v>0</v>
      </c>
      <c r="B9" s="59" t="s">
        <v>94</v>
      </c>
      <c r="C9" s="60">
        <v>0</v>
      </c>
      <c r="D9" s="60">
        <v>0</v>
      </c>
      <c r="E9" s="60">
        <v>0</v>
      </c>
      <c r="F9" s="60">
        <v>0</v>
      </c>
      <c r="G9" s="60">
        <f>SUM(C9:F9)</f>
        <v>0</v>
      </c>
      <c r="H9" s="60">
        <f>G9</f>
        <v>0</v>
      </c>
      <c r="I9" s="60">
        <f>IFERROR(G9/POWER(1+0.00643403011,A9),0)</f>
        <v>0</v>
      </c>
    </row>
    <row r="10" ht="20" customHeight="1" spans="1:9" x14ac:dyDescent="0.25">
      <c r="A10" s="61" t="s">
        <v>95</v>
      </c>
      <c r="B10" s="62" t="s">
        <v>96</v>
      </c>
      <c r="C10" s="63">
        <v>0</v>
      </c>
      <c r="D10" s="63">
        <v>0</v>
      </c>
      <c r="E10" s="63">
        <v>0</v>
      </c>
      <c r="F10" s="63">
        <v>0</v>
      </c>
      <c r="G10" s="63">
        <f>SUM(C10:F10)</f>
        <v>0</v>
      </c>
      <c r="H10" s="63">
        <f>H9+G10</f>
        <v>0</v>
      </c>
      <c r="I10" s="63">
        <f>G10</f>
        <v>0</v>
      </c>
    </row>
    <row r="11" ht="28" customHeight="1" spans="1:9" x14ac:dyDescent="0.25">
      <c r="A11" s="61" t="s">
        <v>97</v>
      </c>
      <c r="B11" s="62" t="s">
        <v>98</v>
      </c>
      <c r="C11" s="63">
        <v>0</v>
      </c>
      <c r="D11" s="63">
        <v>0</v>
      </c>
      <c r="E11" s="63">
        <v>0</v>
      </c>
      <c r="F11" s="64">
        <v>0</v>
      </c>
      <c r="G11" s="64">
        <f>SUM(C11:F11)</f>
        <v>0</v>
      </c>
      <c r="H11" s="64">
        <f>H10+G11</f>
        <v>0</v>
      </c>
      <c r="I11" s="64">
        <f>G11</f>
        <v>0</v>
      </c>
    </row>
    <row r="12" ht="20" customHeight="1" spans="1:9" x14ac:dyDescent="0.25">
      <c r="A12" s="65">
        <v>1</v>
      </c>
      <c r="B12" s="66" t="s">
        <v>38</v>
      </c>
      <c r="C12" s="67">
        <v>0</v>
      </c>
      <c r="D12" s="67">
        <v>5512.65</v>
      </c>
      <c r="E12" s="67">
        <v>0</v>
      </c>
      <c r="F12" s="67">
        <v>0</v>
      </c>
      <c r="G12" s="67">
        <f>SUM(C12:F12)</f>
        <v>5512.65</v>
      </c>
      <c r="H12" s="67">
        <f>H11+G12</f>
        <v>5512.65</v>
      </c>
      <c r="I12" s="67">
        <f>IFERROR(G12/POWER(1+0.00643403011,A12),0)</f>
        <v>5477.408191</v>
      </c>
    </row>
    <row r="13" ht="20" customHeight="1" spans="1:9" x14ac:dyDescent="0.25">
      <c r="A13" s="68">
        <v>2</v>
      </c>
      <c r="B13" s="69" t="s">
        <v>104</v>
      </c>
      <c r="C13" s="63">
        <v>0</v>
      </c>
      <c r="D13" s="63">
        <v>5512.65</v>
      </c>
      <c r="E13" s="63">
        <v>0</v>
      </c>
      <c r="F13" s="63">
        <v>0</v>
      </c>
      <c r="G13" s="63">
        <f>SUM(C13:F13)</f>
        <v>5512.65</v>
      </c>
      <c r="H13" s="63">
        <f>H12+G13</f>
        <v>11025.3</v>
      </c>
      <c r="I13" s="63">
        <f>IFERROR(G13/POWER(1+0.00643403011,A13),0)</f>
        <v>5442.391679</v>
      </c>
    </row>
    <row r="14" ht="20" customHeight="1" spans="1:9" x14ac:dyDescent="0.25">
      <c r="A14" s="65">
        <v>3</v>
      </c>
      <c r="B14" s="66" t="s">
        <v>105</v>
      </c>
      <c r="C14" s="67">
        <v>0</v>
      </c>
      <c r="D14" s="67">
        <v>5512.65</v>
      </c>
      <c r="E14" s="67">
        <v>0</v>
      </c>
      <c r="F14" s="67">
        <v>0</v>
      </c>
      <c r="G14" s="67">
        <f>SUM(C14:F14)</f>
        <v>5512.65</v>
      </c>
      <c r="H14" s="67">
        <f>H13+G14</f>
        <v>16537.95</v>
      </c>
      <c r="I14" s="67">
        <f>IFERROR(G14/POWER(1+0.00643403011,A14),0)</f>
        <v>5407.599024</v>
      </c>
    </row>
    <row r="15" ht="20" customHeight="1" spans="1:9" x14ac:dyDescent="0.25">
      <c r="A15" s="68">
        <v>4</v>
      </c>
      <c r="B15" s="69" t="s">
        <v>106</v>
      </c>
      <c r="C15" s="63">
        <v>0</v>
      </c>
      <c r="D15" s="63">
        <v>5512.65</v>
      </c>
      <c r="E15" s="63">
        <v>0</v>
      </c>
      <c r="F15" s="63">
        <v>0</v>
      </c>
      <c r="G15" s="63">
        <f>SUM(C15:F15)</f>
        <v>5512.65</v>
      </c>
      <c r="H15" s="63">
        <f>H14+G15</f>
        <v>22050.6</v>
      </c>
      <c r="I15" s="63">
        <f>IFERROR(G15/POWER(1+0.00643403011,A15),0)</f>
        <v>5373.028795</v>
      </c>
    </row>
    <row r="16" ht="20" customHeight="1" spans="1:9" x14ac:dyDescent="0.25">
      <c r="A16" s="65">
        <v>5</v>
      </c>
      <c r="B16" s="66" t="s">
        <v>107</v>
      </c>
      <c r="C16" s="67">
        <v>0</v>
      </c>
      <c r="D16" s="67">
        <v>5512.65</v>
      </c>
      <c r="E16" s="67">
        <v>0</v>
      </c>
      <c r="F16" s="67">
        <v>0</v>
      </c>
      <c r="G16" s="67">
        <f>SUM(C16:F16)</f>
        <v>5512.65</v>
      </c>
      <c r="H16" s="67">
        <f>H15+G16</f>
        <v>27563.25</v>
      </c>
      <c r="I16" s="67">
        <f>IFERROR(G16/POWER(1+0.00643403011,A16),0)</f>
        <v>5338.67957</v>
      </c>
    </row>
    <row r="17" ht="20" customHeight="1" spans="1:9" x14ac:dyDescent="0.25">
      <c r="A17" s="68">
        <v>6</v>
      </c>
      <c r="B17" s="69" t="s">
        <v>108</v>
      </c>
      <c r="C17" s="63">
        <v>0</v>
      </c>
      <c r="D17" s="63">
        <v>5512.65</v>
      </c>
      <c r="E17" s="63">
        <v>0</v>
      </c>
      <c r="F17" s="63">
        <v>0</v>
      </c>
      <c r="G17" s="63">
        <f>SUM(C17:F17)</f>
        <v>5512.65</v>
      </c>
      <c r="H17" s="63">
        <f>H16+G17</f>
        <v>33075.9</v>
      </c>
      <c r="I17" s="63">
        <f>IFERROR(G17/POWER(1+0.00643403011,A17),0)</f>
        <v>5304.549936</v>
      </c>
    </row>
    <row r="18" ht="20" customHeight="1" spans="1:9" x14ac:dyDescent="0.25">
      <c r="A18" s="65">
        <v>7</v>
      </c>
      <c r="B18" s="66" t="s">
        <v>109</v>
      </c>
      <c r="C18" s="67">
        <v>0</v>
      </c>
      <c r="D18" s="67">
        <v>5512.65</v>
      </c>
      <c r="E18" s="67">
        <v>0</v>
      </c>
      <c r="F18" s="67">
        <v>0</v>
      </c>
      <c r="G18" s="67">
        <f>SUM(C18:F18)</f>
        <v>5512.65</v>
      </c>
      <c r="H18" s="67">
        <f>H17+G18</f>
        <v>38588.55</v>
      </c>
      <c r="I18" s="67">
        <f>IFERROR(G18/POWER(1+0.00643403011,A18),0)</f>
        <v>5270.638489</v>
      </c>
    </row>
    <row r="19" ht="20" customHeight="1" spans="1:9" x14ac:dyDescent="0.25">
      <c r="A19" s="68">
        <v>8</v>
      </c>
      <c r="B19" s="69" t="s">
        <v>110</v>
      </c>
      <c r="C19" s="63">
        <v>0</v>
      </c>
      <c r="D19" s="63">
        <v>5512.65</v>
      </c>
      <c r="E19" s="63">
        <v>0</v>
      </c>
      <c r="F19" s="63">
        <v>0</v>
      </c>
      <c r="G19" s="63">
        <f>SUM(C19:F19)</f>
        <v>5512.65</v>
      </c>
      <c r="H19" s="63">
        <f>H18+G19</f>
        <v>44101.2</v>
      </c>
      <c r="I19" s="63">
        <f>IFERROR(G19/POWER(1+0.00643403011,A19),0)</f>
        <v>5236.943835</v>
      </c>
    </row>
    <row r="20" ht="20" customHeight="1" spans="1:9" x14ac:dyDescent="0.25">
      <c r="A20" s="65">
        <v>9</v>
      </c>
      <c r="B20" s="66" t="s">
        <v>111</v>
      </c>
      <c r="C20" s="67">
        <v>10023</v>
      </c>
      <c r="D20" s="67">
        <v>5512.65</v>
      </c>
      <c r="E20" s="67">
        <v>0</v>
      </c>
      <c r="F20" s="67">
        <v>0</v>
      </c>
      <c r="G20" s="67">
        <f>SUM(C20:F20)</f>
        <v>15535.65</v>
      </c>
      <c r="H20" s="67">
        <f>H19+G20</f>
        <v>59636.85</v>
      </c>
      <c r="I20" s="67">
        <f>IFERROR(G20/POWER(1+0.00643403011,A20),0)</f>
        <v>14664.30929</v>
      </c>
    </row>
    <row r="21" ht="20" customHeight="1" spans="1:9" x14ac:dyDescent="0.25">
      <c r="A21" s="68">
        <v>10</v>
      </c>
      <c r="B21" s="69" t="s">
        <v>112</v>
      </c>
      <c r="C21" s="63">
        <v>10023</v>
      </c>
      <c r="D21" s="63">
        <v>5512.65</v>
      </c>
      <c r="E21" s="63">
        <v>0</v>
      </c>
      <c r="F21" s="63">
        <v>0</v>
      </c>
      <c r="G21" s="63">
        <f>SUM(C21:F21)</f>
        <v>15535.65</v>
      </c>
      <c r="H21" s="63">
        <f>H20+G21</f>
        <v>75172.5</v>
      </c>
      <c r="I21" s="63">
        <f>IFERROR(G21/POWER(1+0.00643403011,A21),0)</f>
        <v>14570.561857</v>
      </c>
    </row>
    <row r="22" ht="20" customHeight="1" spans="1:9" x14ac:dyDescent="0.25">
      <c r="A22" s="65">
        <v>11</v>
      </c>
      <c r="B22" s="66" t="s">
        <v>113</v>
      </c>
      <c r="C22" s="67">
        <v>10023</v>
      </c>
      <c r="D22" s="67">
        <v>5512.65</v>
      </c>
      <c r="E22" s="67">
        <v>0</v>
      </c>
      <c r="F22" s="67">
        <v>0</v>
      </c>
      <c r="G22" s="67">
        <f>SUM(C22:F22)</f>
        <v>15535.65</v>
      </c>
      <c r="H22" s="67">
        <f>H21+G22</f>
        <v>90708.15</v>
      </c>
      <c r="I22" s="67">
        <f>IFERROR(G22/POWER(1+0.00643403011,A22),0)</f>
        <v>14477.413741</v>
      </c>
    </row>
    <row r="23" ht="20" customHeight="1" spans="1:9" x14ac:dyDescent="0.25">
      <c r="A23" s="68">
        <v>12</v>
      </c>
      <c r="B23" s="69" t="s">
        <v>114</v>
      </c>
      <c r="C23" s="63">
        <v>10023</v>
      </c>
      <c r="D23" s="63">
        <v>5512.65</v>
      </c>
      <c r="E23" s="63">
        <v>0</v>
      </c>
      <c r="F23" s="63">
        <v>0</v>
      </c>
      <c r="G23" s="63">
        <f>SUM(C23:F23)</f>
        <v>15535.65</v>
      </c>
      <c r="H23" s="63">
        <f>H22+G23</f>
        <v>106243.8</v>
      </c>
      <c r="I23" s="63">
        <f>IFERROR(G23/POWER(1+0.00643403011,A23),0)</f>
        <v>14384.861111</v>
      </c>
    </row>
    <row r="24" ht="20" customHeight="1" spans="1:9" x14ac:dyDescent="0.25">
      <c r="A24" s="65">
        <v>13</v>
      </c>
      <c r="B24" s="66" t="s">
        <v>115</v>
      </c>
      <c r="C24" s="67">
        <v>10323.69</v>
      </c>
      <c r="D24" s="67">
        <v>5512.65</v>
      </c>
      <c r="E24" s="67">
        <v>0</v>
      </c>
      <c r="F24" s="67">
        <v>0</v>
      </c>
      <c r="G24" s="67">
        <f>SUM(C24:F24)</f>
        <v>15836.34</v>
      </c>
      <c r="H24" s="67">
        <f>H23+G24</f>
        <v>122080.14</v>
      </c>
      <c r="I24" s="67">
        <f>IFERROR(G24/POWER(1+0.00643403011,A24),0)</f>
        <v>14569.536938</v>
      </c>
    </row>
    <row r="25" ht="20" customHeight="1" spans="1:9" x14ac:dyDescent="0.25">
      <c r="A25" s="68">
        <v>14</v>
      </c>
      <c r="B25" s="69" t="s">
        <v>116</v>
      </c>
      <c r="C25" s="63">
        <v>10323.69</v>
      </c>
      <c r="D25" s="63">
        <v>5512.65</v>
      </c>
      <c r="E25" s="63">
        <v>0</v>
      </c>
      <c r="F25" s="63">
        <v>0</v>
      </c>
      <c r="G25" s="63">
        <f>SUM(C25:F25)</f>
        <v>15836.34</v>
      </c>
      <c r="H25" s="63">
        <f>H24+G25</f>
        <v>137916.48</v>
      </c>
      <c r="I25" s="63">
        <f>IFERROR(G25/POWER(1+0.00643403011,A25),0)</f>
        <v>14476.395375</v>
      </c>
    </row>
    <row r="26" ht="20" customHeight="1" spans="1:9" x14ac:dyDescent="0.25">
      <c r="A26" s="65">
        <v>15</v>
      </c>
      <c r="B26" s="66" t="s">
        <v>117</v>
      </c>
      <c r="C26" s="67">
        <v>10323.69</v>
      </c>
      <c r="D26" s="67">
        <v>5512.65</v>
      </c>
      <c r="E26" s="67">
        <v>0</v>
      </c>
      <c r="F26" s="67">
        <v>0</v>
      </c>
      <c r="G26" s="67">
        <f>SUM(C26:F26)</f>
        <v>15836.34</v>
      </c>
      <c r="H26" s="67">
        <f>H25+G26</f>
        <v>153752.82</v>
      </c>
      <c r="I26" s="67">
        <f>IFERROR(G26/POWER(1+0.00643403011,A26),0)</f>
        <v>14383.849255</v>
      </c>
    </row>
    <row r="27" ht="20" customHeight="1" spans="1:9" x14ac:dyDescent="0.25">
      <c r="A27" s="68">
        <v>16</v>
      </c>
      <c r="B27" s="69" t="s">
        <v>118</v>
      </c>
      <c r="C27" s="63">
        <v>10323.69</v>
      </c>
      <c r="D27" s="63">
        <v>5512.65</v>
      </c>
      <c r="E27" s="63">
        <v>0</v>
      </c>
      <c r="F27" s="63">
        <v>0</v>
      </c>
      <c r="G27" s="63">
        <f>SUM(C27:F27)</f>
        <v>15836.34</v>
      </c>
      <c r="H27" s="63">
        <f>H26+G27</f>
        <v>169589.16</v>
      </c>
      <c r="I27" s="63">
        <f>IFERROR(G27/POWER(1+0.00643403011,A27),0)</f>
        <v>14291.894774</v>
      </c>
    </row>
    <row r="28" ht="20" customHeight="1" spans="1:9" x14ac:dyDescent="0.25">
      <c r="A28" s="65">
        <v>17</v>
      </c>
      <c r="B28" s="66" t="s">
        <v>37</v>
      </c>
      <c r="C28" s="67">
        <v>10323.69</v>
      </c>
      <c r="D28" s="67">
        <v>5512.65</v>
      </c>
      <c r="E28" s="67">
        <v>0</v>
      </c>
      <c r="F28" s="67">
        <v>0</v>
      </c>
      <c r="G28" s="67">
        <f>SUM(C28:F28)</f>
        <v>15836.34</v>
      </c>
      <c r="H28" s="67">
        <f>H27+G28</f>
        <v>185425.5</v>
      </c>
      <c r="I28" s="67">
        <f>IFERROR(G28/POWER(1+0.00643403011,A28),0)</f>
        <v>14200.528149</v>
      </c>
    </row>
    <row r="29" ht="20" customHeight="1" spans="1:9" x14ac:dyDescent="0.25">
      <c r="A29" s="68">
        <v>18</v>
      </c>
      <c r="B29" s="69" t="s">
        <v>119</v>
      </c>
      <c r="C29" s="63">
        <v>10323.69</v>
      </c>
      <c r="D29" s="63">
        <v>5512.65</v>
      </c>
      <c r="E29" s="63">
        <v>0</v>
      </c>
      <c r="F29" s="63">
        <v>0</v>
      </c>
      <c r="G29" s="63">
        <f>SUM(C29:F29)</f>
        <v>15836.34</v>
      </c>
      <c r="H29" s="63">
        <f>H28+G29</f>
        <v>201261.84</v>
      </c>
      <c r="I29" s="63">
        <f>IFERROR(G29/POWER(1+0.00643403011,A29),0)</f>
        <v>14109.74562</v>
      </c>
    </row>
    <row r="30" ht="20" customHeight="1" spans="1:9" x14ac:dyDescent="0.25">
      <c r="A30" s="65">
        <v>19</v>
      </c>
      <c r="B30" s="66" t="s">
        <v>120</v>
      </c>
      <c r="C30" s="67">
        <v>10323.69</v>
      </c>
      <c r="D30" s="67">
        <v>5512.65</v>
      </c>
      <c r="E30" s="67">
        <v>0</v>
      </c>
      <c r="F30" s="67">
        <v>0</v>
      </c>
      <c r="G30" s="67">
        <f>SUM(C30:F30)</f>
        <v>15836.34</v>
      </c>
      <c r="H30" s="67">
        <f>H29+G30</f>
        <v>217098.18</v>
      </c>
      <c r="I30" s="67">
        <f>IFERROR(G30/POWER(1+0.00643403011,A30),0)</f>
        <v>14019.543456</v>
      </c>
    </row>
    <row r="31" ht="20" customHeight="1" spans="1:9" x14ac:dyDescent="0.25">
      <c r="A31" s="68">
        <v>20</v>
      </c>
      <c r="B31" s="69" t="s">
        <v>121</v>
      </c>
      <c r="C31" s="63">
        <v>10323.69</v>
      </c>
      <c r="D31" s="63">
        <v>5512.65</v>
      </c>
      <c r="E31" s="63">
        <v>0</v>
      </c>
      <c r="F31" s="63">
        <v>0</v>
      </c>
      <c r="G31" s="63">
        <f>SUM(C31:F31)</f>
        <v>15836.34</v>
      </c>
      <c r="H31" s="63">
        <f>H30+G31</f>
        <v>232934.52</v>
      </c>
      <c r="I31" s="63">
        <f>IFERROR(G31/POWER(1+0.00643403011,A31),0)</f>
        <v>13929.917944</v>
      </c>
    </row>
    <row r="32" ht="20" customHeight="1" spans="1:9" x14ac:dyDescent="0.25">
      <c r="A32" s="65">
        <v>21</v>
      </c>
      <c r="B32" s="66" t="s">
        <v>122</v>
      </c>
      <c r="C32" s="67">
        <v>10323.69</v>
      </c>
      <c r="D32" s="67">
        <v>5512.65</v>
      </c>
      <c r="E32" s="67">
        <v>0</v>
      </c>
      <c r="F32" s="67">
        <v>0</v>
      </c>
      <c r="G32" s="67">
        <f>SUM(C32:F32)</f>
        <v>15836.34</v>
      </c>
      <c r="H32" s="67">
        <f>H31+G32</f>
        <v>248770.86</v>
      </c>
      <c r="I32" s="67">
        <f>IFERROR(G32/POWER(1+0.00643403011,A32),0)</f>
        <v>13840.865399</v>
      </c>
    </row>
    <row r="33" ht="20" customHeight="1" spans="1:9" x14ac:dyDescent="0.25">
      <c r="A33" s="68">
        <v>22</v>
      </c>
      <c r="B33" s="69" t="s">
        <v>123</v>
      </c>
      <c r="C33" s="63">
        <v>10323.69</v>
      </c>
      <c r="D33" s="63">
        <v>5512.65</v>
      </c>
      <c r="E33" s="63">
        <v>0</v>
      </c>
      <c r="F33" s="63">
        <v>0</v>
      </c>
      <c r="G33" s="63">
        <f>SUM(C33:F33)</f>
        <v>15836.34</v>
      </c>
      <c r="H33" s="63">
        <f>H32+G33</f>
        <v>264607.2</v>
      </c>
      <c r="I33" s="63">
        <f>IFERROR(G33/POWER(1+0.00643403011,A33),0)</f>
        <v>13752.382159</v>
      </c>
    </row>
    <row r="34" ht="20" customHeight="1" spans="1:9" x14ac:dyDescent="0.25">
      <c r="A34" s="65">
        <v>23</v>
      </c>
      <c r="B34" s="66" t="s">
        <v>124</v>
      </c>
      <c r="C34" s="67">
        <v>10323.69</v>
      </c>
      <c r="D34" s="67">
        <v>5512.65</v>
      </c>
      <c r="E34" s="67">
        <v>0</v>
      </c>
      <c r="F34" s="67">
        <v>0</v>
      </c>
      <c r="G34" s="67">
        <f>SUM(C34:F34)</f>
        <v>15836.34</v>
      </c>
      <c r="H34" s="67">
        <f>H33+G34</f>
        <v>280443.54</v>
      </c>
      <c r="I34" s="67">
        <f>IFERROR(G34/POWER(1+0.00643403011,A34),0)</f>
        <v>13664.464582</v>
      </c>
    </row>
    <row r="35" ht="20" customHeight="1" spans="1:9" x14ac:dyDescent="0.25">
      <c r="A35" s="68">
        <v>24</v>
      </c>
      <c r="B35" s="69" t="s">
        <v>125</v>
      </c>
      <c r="C35" s="63">
        <v>10323.69</v>
      </c>
      <c r="D35" s="63">
        <v>5512.65</v>
      </c>
      <c r="E35" s="63">
        <v>0</v>
      </c>
      <c r="F35" s="63">
        <v>0</v>
      </c>
      <c r="G35" s="63">
        <f>SUM(C35:F35)</f>
        <v>15836.34</v>
      </c>
      <c r="H35" s="63">
        <f>H34+G35</f>
        <v>296279.88</v>
      </c>
      <c r="I35" s="63">
        <f>IFERROR(G35/POWER(1+0.00643403011,A35),0)</f>
        <v>13577.109053</v>
      </c>
    </row>
    <row r="36" ht="20" customHeight="1" spans="1:9" x14ac:dyDescent="0.25">
      <c r="A36" s="65">
        <v>25</v>
      </c>
      <c r="B36" s="66" t="s">
        <v>126</v>
      </c>
      <c r="C36" s="67">
        <v>10632.09</v>
      </c>
      <c r="D36" s="67">
        <v>5512.65</v>
      </c>
      <c r="E36" s="67">
        <v>0</v>
      </c>
      <c r="F36" s="67">
        <v>0</v>
      </c>
      <c r="G36" s="67">
        <f>SUM(C36:F36)</f>
        <v>16144.74</v>
      </c>
      <c r="H36" s="67">
        <f>H35+G36</f>
        <v>312424.62</v>
      </c>
      <c r="I36" s="67">
        <f>IFERROR(G36/POWER(1+0.00643403011,A36),0)</f>
        <v>13753.024969</v>
      </c>
    </row>
    <row r="37" ht="20" customHeight="1" spans="1:9" x14ac:dyDescent="0.25">
      <c r="A37" s="68">
        <v>26</v>
      </c>
      <c r="B37" s="69" t="s">
        <v>127</v>
      </c>
      <c r="C37" s="63">
        <v>10632.09</v>
      </c>
      <c r="D37" s="63">
        <v>5512.65</v>
      </c>
      <c r="E37" s="63">
        <v>0</v>
      </c>
      <c r="F37" s="63">
        <v>0</v>
      </c>
      <c r="G37" s="63">
        <f>SUM(C37:F37)</f>
        <v>16144.74</v>
      </c>
      <c r="H37" s="63">
        <f>H36+G37</f>
        <v>328569.36</v>
      </c>
      <c r="I37" s="63">
        <f>IFERROR(G37/POWER(1+0.00643403011,A37),0)</f>
        <v>13665.103283</v>
      </c>
    </row>
    <row r="38" ht="20" customHeight="1" spans="1:9" x14ac:dyDescent="0.25">
      <c r="A38" s="65">
        <v>27</v>
      </c>
      <c r="B38" s="66" t="s">
        <v>128</v>
      </c>
      <c r="C38" s="67">
        <v>10632.09</v>
      </c>
      <c r="D38" s="67">
        <v>5512.65</v>
      </c>
      <c r="E38" s="67">
        <v>0</v>
      </c>
      <c r="F38" s="67">
        <v>0</v>
      </c>
      <c r="G38" s="67">
        <f>SUM(C38:F38)</f>
        <v>16144.74</v>
      </c>
      <c r="H38" s="67">
        <f>H37+G38</f>
        <v>344714.1</v>
      </c>
      <c r="I38" s="67">
        <f>IFERROR(G38/POWER(1+0.00643403011,A38),0)</f>
        <v>13577.743671</v>
      </c>
    </row>
    <row r="39" ht="20" customHeight="1" spans="1:9" x14ac:dyDescent="0.25">
      <c r="A39" s="68">
        <v>28</v>
      </c>
      <c r="B39" s="69" t="s">
        <v>129</v>
      </c>
      <c r="C39" s="63">
        <v>10632.09</v>
      </c>
      <c r="D39" s="63">
        <v>5512.65</v>
      </c>
      <c r="E39" s="63">
        <v>0</v>
      </c>
      <c r="F39" s="63">
        <v>0</v>
      </c>
      <c r="G39" s="63">
        <f>SUM(C39:F39)</f>
        <v>16144.74</v>
      </c>
      <c r="H39" s="63">
        <f>H38+G39</f>
        <v>360858.84</v>
      </c>
      <c r="I39" s="63">
        <f>IFERROR(G39/POWER(1+0.00643403011,A39),0)</f>
        <v>13490.942541</v>
      </c>
    </row>
    <row r="40" ht="20" customHeight="1" spans="1:9" x14ac:dyDescent="0.25">
      <c r="A40" s="65">
        <v>29</v>
      </c>
      <c r="B40" s="66" t="s">
        <v>130</v>
      </c>
      <c r="C40" s="67">
        <v>10632.09</v>
      </c>
      <c r="D40" s="67">
        <v>5512.65</v>
      </c>
      <c r="E40" s="67">
        <v>0</v>
      </c>
      <c r="F40" s="67">
        <v>0</v>
      </c>
      <c r="G40" s="67">
        <f>SUM(C40:F40)</f>
        <v>16144.74</v>
      </c>
      <c r="H40" s="67">
        <f>H39+G40</f>
        <v>377003.58</v>
      </c>
      <c r="I40" s="67">
        <f>IFERROR(G40/POWER(1+0.00643403011,A40),0)</f>
        <v>13404.696321</v>
      </c>
    </row>
    <row r="41" ht="20" customHeight="1" spans="1:9" x14ac:dyDescent="0.25">
      <c r="A41" s="68">
        <v>30</v>
      </c>
      <c r="B41" s="69" t="s">
        <v>131</v>
      </c>
      <c r="C41" s="63">
        <v>10632.09</v>
      </c>
      <c r="D41" s="63">
        <v>5512.65</v>
      </c>
      <c r="E41" s="63">
        <v>0</v>
      </c>
      <c r="F41" s="63">
        <v>0</v>
      </c>
      <c r="G41" s="63">
        <f>SUM(C41:F41)</f>
        <v>16144.74</v>
      </c>
      <c r="H41" s="63">
        <f>H40+G41</f>
        <v>393148.32</v>
      </c>
      <c r="I41" s="63">
        <f>IFERROR(G41/POWER(1+0.00643403011,A41),0)</f>
        <v>13319.001465</v>
      </c>
    </row>
    <row r="42" ht="20" customHeight="1" spans="1:9" x14ac:dyDescent="0.25">
      <c r="A42" s="65">
        <v>31</v>
      </c>
      <c r="B42" s="66" t="s">
        <v>132</v>
      </c>
      <c r="C42" s="67">
        <v>10632.09</v>
      </c>
      <c r="D42" s="67">
        <v>5512.65</v>
      </c>
      <c r="E42" s="67">
        <v>0</v>
      </c>
      <c r="F42" s="67">
        <v>0</v>
      </c>
      <c r="G42" s="67">
        <f>SUM(C42:F42)</f>
        <v>16144.74</v>
      </c>
      <c r="H42" s="67">
        <f>H41+G42</f>
        <v>409293.06</v>
      </c>
      <c r="I42" s="67">
        <f>IFERROR(G42/POWER(1+0.00643403011,A42),0)</f>
        <v>13233.854447</v>
      </c>
    </row>
    <row r="43" ht="20" customHeight="1" spans="1:9" x14ac:dyDescent="0.25">
      <c r="A43" s="68">
        <v>32</v>
      </c>
      <c r="B43" s="69" t="s">
        <v>133</v>
      </c>
      <c r="C43" s="63">
        <v>10632.09</v>
      </c>
      <c r="D43" s="63">
        <v>5512.65</v>
      </c>
      <c r="E43" s="63">
        <v>0</v>
      </c>
      <c r="F43" s="63">
        <v>0</v>
      </c>
      <c r="G43" s="63">
        <f>SUM(C43:F43)</f>
        <v>16144.74</v>
      </c>
      <c r="H43" s="63">
        <f>H42+G43</f>
        <v>425437.8</v>
      </c>
      <c r="I43" s="63">
        <f>IFERROR(G43/POWER(1+0.00643403011,A43),0)</f>
        <v>13149.251765</v>
      </c>
    </row>
    <row r="44" ht="20" customHeight="1" spans="1:9" x14ac:dyDescent="0.25">
      <c r="A44" s="65">
        <v>33</v>
      </c>
      <c r="B44" s="66" t="s">
        <v>134</v>
      </c>
      <c r="C44" s="67">
        <v>10632.09</v>
      </c>
      <c r="D44" s="67">
        <v>5512.65</v>
      </c>
      <c r="E44" s="67">
        <v>0</v>
      </c>
      <c r="F44" s="67">
        <v>0</v>
      </c>
      <c r="G44" s="67">
        <f>SUM(C44:F44)</f>
        <v>16144.74</v>
      </c>
      <c r="H44" s="67">
        <f>H43+G44</f>
        <v>441582.54</v>
      </c>
      <c r="I44" s="67">
        <f>IFERROR(G44/POWER(1+0.00643403011,A44),0)</f>
        <v>13065.189939</v>
      </c>
    </row>
    <row r="45" ht="20" customHeight="1" spans="1:9" x14ac:dyDescent="0.25">
      <c r="A45" s="68">
        <v>34</v>
      </c>
      <c r="B45" s="69" t="s">
        <v>135</v>
      </c>
      <c r="C45" s="63">
        <v>10632.09</v>
      </c>
      <c r="D45" s="63">
        <v>5512.65</v>
      </c>
      <c r="E45" s="63">
        <v>0</v>
      </c>
      <c r="F45" s="63">
        <v>0</v>
      </c>
      <c r="G45" s="63">
        <f>SUM(C45:F45)</f>
        <v>16144.74</v>
      </c>
      <c r="H45" s="63">
        <f>H44+G45</f>
        <v>457727.28</v>
      </c>
      <c r="I45" s="63">
        <f>IFERROR(G45/POWER(1+0.00643403011,A45),0)</f>
        <v>12981.665513</v>
      </c>
    </row>
    <row r="46" ht="20" customHeight="1" spans="1:9" x14ac:dyDescent="0.25">
      <c r="A46" s="65">
        <v>35</v>
      </c>
      <c r="B46" s="66" t="s">
        <v>136</v>
      </c>
      <c r="C46" s="67">
        <v>10632.09</v>
      </c>
      <c r="D46" s="67">
        <v>5512.65</v>
      </c>
      <c r="E46" s="67">
        <v>0</v>
      </c>
      <c r="F46" s="67">
        <v>0</v>
      </c>
      <c r="G46" s="67">
        <f>SUM(C46:F46)</f>
        <v>16144.74</v>
      </c>
      <c r="H46" s="67">
        <f>H45+G46</f>
        <v>473872.02</v>
      </c>
      <c r="I46" s="67">
        <f>IFERROR(G46/POWER(1+0.00643403011,A46),0)</f>
        <v>12898.675049</v>
      </c>
    </row>
    <row r="47" ht="20" customHeight="1" spans="1:9" x14ac:dyDescent="0.25">
      <c r="A47" s="68">
        <v>36</v>
      </c>
      <c r="B47" s="69" t="s">
        <v>137</v>
      </c>
      <c r="C47" s="63">
        <v>10632.09</v>
      </c>
      <c r="D47" s="63">
        <v>5512.65</v>
      </c>
      <c r="E47" s="63">
        <v>0</v>
      </c>
      <c r="F47" s="63">
        <v>0</v>
      </c>
      <c r="G47" s="63">
        <f>SUM(C47:F47)</f>
        <v>16144.74</v>
      </c>
      <c r="H47" s="63">
        <f>H46+G47</f>
        <v>490016.76</v>
      </c>
      <c r="I47" s="63">
        <f>IFERROR(G47/POWER(1+0.00643403011,A47),0)</f>
        <v>12816.215135</v>
      </c>
    </row>
    <row r="48" ht="20" customHeight="1" spans="1:9" x14ac:dyDescent="0.25">
      <c r="A48" s="65">
        <v>37</v>
      </c>
      <c r="B48" s="66" t="s">
        <v>138</v>
      </c>
      <c r="C48" s="67">
        <v>10952.055</v>
      </c>
      <c r="D48" s="67">
        <v>5512.65</v>
      </c>
      <c r="E48" s="67">
        <v>0</v>
      </c>
      <c r="F48" s="67">
        <v>0</v>
      </c>
      <c r="G48" s="67">
        <f>SUM(C48:F48)</f>
        <v>16464.705</v>
      </c>
      <c r="H48" s="67">
        <f>H47+G48</f>
        <v>506481.465</v>
      </c>
      <c r="I48" s="67">
        <f>IFERROR(G48/POWER(1+0.00643403011,A48),0)</f>
        <v>12986.657125</v>
      </c>
    </row>
    <row r="49" ht="20" customHeight="1" spans="1:9" x14ac:dyDescent="0.25">
      <c r="A49" s="68">
        <v>38</v>
      </c>
      <c r="B49" s="69" t="s">
        <v>139</v>
      </c>
      <c r="C49" s="63">
        <v>10952.055</v>
      </c>
      <c r="D49" s="63">
        <v>5512.65</v>
      </c>
      <c r="E49" s="63">
        <v>0</v>
      </c>
      <c r="F49" s="63">
        <v>0</v>
      </c>
      <c r="G49" s="63">
        <f>SUM(C49:F49)</f>
        <v>16464.705</v>
      </c>
      <c r="H49" s="63">
        <f>H48+G49</f>
        <v>522946.17</v>
      </c>
      <c r="I49" s="63">
        <f>IFERROR(G49/POWER(1+0.00643403011,A49),0)</f>
        <v>12903.63475</v>
      </c>
    </row>
    <row r="50" ht="20" customHeight="1" spans="1:9" x14ac:dyDescent="0.25">
      <c r="A50" s="65">
        <v>39</v>
      </c>
      <c r="B50" s="66" t="s">
        <v>140</v>
      </c>
      <c r="C50" s="67">
        <v>10952.055</v>
      </c>
      <c r="D50" s="67">
        <v>5512.65</v>
      </c>
      <c r="E50" s="67">
        <v>0</v>
      </c>
      <c r="F50" s="67">
        <v>0</v>
      </c>
      <c r="G50" s="67">
        <f>SUM(C50:F50)</f>
        <v>16464.705</v>
      </c>
      <c r="H50" s="67">
        <f>H49+G50</f>
        <v>539410.875</v>
      </c>
      <c r="I50" s="67">
        <f>IFERROR(G50/POWER(1+0.00643403011,A50),0)</f>
        <v>12821.143129</v>
      </c>
    </row>
    <row r="51" ht="20" customHeight="1" spans="1:9" x14ac:dyDescent="0.25">
      <c r="A51" s="68">
        <v>40</v>
      </c>
      <c r="B51" s="69" t="s">
        <v>141</v>
      </c>
      <c r="C51" s="63">
        <v>10952.055</v>
      </c>
      <c r="D51" s="63">
        <v>5512.65</v>
      </c>
      <c r="E51" s="63">
        <v>0</v>
      </c>
      <c r="F51" s="63">
        <v>0</v>
      </c>
      <c r="G51" s="63">
        <f>SUM(C51:F51)</f>
        <v>16464.705</v>
      </c>
      <c r="H51" s="63">
        <f>H50+G51</f>
        <v>555875.58</v>
      </c>
      <c r="I51" s="63">
        <f>IFERROR(G51/POWER(1+0.00643403011,A51),0)</f>
        <v>12739.178869</v>
      </c>
    </row>
    <row r="52" ht="20" customHeight="1" spans="1:9" x14ac:dyDescent="0.25">
      <c r="A52" s="65">
        <v>41</v>
      </c>
      <c r="B52" s="66" t="s">
        <v>142</v>
      </c>
      <c r="C52" s="67">
        <v>10952.055</v>
      </c>
      <c r="D52" s="67">
        <v>5512.65</v>
      </c>
      <c r="E52" s="67">
        <v>0</v>
      </c>
      <c r="F52" s="67">
        <v>0</v>
      </c>
      <c r="G52" s="67">
        <f>SUM(C52:F52)</f>
        <v>16464.705</v>
      </c>
      <c r="H52" s="67">
        <f>H51+G52</f>
        <v>572340.285</v>
      </c>
      <c r="I52" s="67">
        <f>IFERROR(G52/POWER(1+0.00643403011,A52),0)</f>
        <v>12657.738598</v>
      </c>
    </row>
    <row r="53" ht="20" customHeight="1" spans="1:9" x14ac:dyDescent="0.25">
      <c r="A53" s="68">
        <v>42</v>
      </c>
      <c r="B53" s="69" t="s">
        <v>143</v>
      </c>
      <c r="C53" s="63">
        <v>10952.055</v>
      </c>
      <c r="D53" s="63">
        <v>5512.65</v>
      </c>
      <c r="E53" s="63">
        <v>0</v>
      </c>
      <c r="F53" s="63">
        <v>0</v>
      </c>
      <c r="G53" s="63">
        <f>SUM(C53:F53)</f>
        <v>16464.705</v>
      </c>
      <c r="H53" s="63">
        <f>H52+G53</f>
        <v>588804.99</v>
      </c>
      <c r="I53" s="63">
        <f>IFERROR(G53/POWER(1+0.00643403011,A53),0)</f>
        <v>12576.818966</v>
      </c>
    </row>
    <row r="54" ht="20" customHeight="1" spans="1:9" x14ac:dyDescent="0.25">
      <c r="A54" s="65">
        <v>43</v>
      </c>
      <c r="B54" s="66" t="s">
        <v>144</v>
      </c>
      <c r="C54" s="67">
        <v>10952.055</v>
      </c>
      <c r="D54" s="67">
        <v>5512.65</v>
      </c>
      <c r="E54" s="67">
        <v>0</v>
      </c>
      <c r="F54" s="67">
        <v>0</v>
      </c>
      <c r="G54" s="67">
        <f>SUM(C54:F54)</f>
        <v>16464.705</v>
      </c>
      <c r="H54" s="67">
        <f>H53+G54</f>
        <v>605269.695</v>
      </c>
      <c r="I54" s="67">
        <f>IFERROR(G54/POWER(1+0.00643403011,A54),0)</f>
        <v>12496.416645</v>
      </c>
    </row>
    <row r="55" ht="20" customHeight="1" spans="1:9" x14ac:dyDescent="0.25">
      <c r="A55" s="68">
        <v>44</v>
      </c>
      <c r="B55" s="69" t="s">
        <v>145</v>
      </c>
      <c r="C55" s="63">
        <v>10952.055</v>
      </c>
      <c r="D55" s="63">
        <v>5512.65</v>
      </c>
      <c r="E55" s="63">
        <v>0</v>
      </c>
      <c r="F55" s="63">
        <v>0</v>
      </c>
      <c r="G55" s="63">
        <f>SUM(C55:F55)</f>
        <v>16464.705</v>
      </c>
      <c r="H55" s="63">
        <f>H54+G55</f>
        <v>621734.4</v>
      </c>
      <c r="I55" s="63">
        <f>IFERROR(G55/POWER(1+0.00643403011,A55),0)</f>
        <v>12416.528328</v>
      </c>
    </row>
    <row r="56" ht="20" customHeight="1" spans="1:9" x14ac:dyDescent="0.25">
      <c r="A56" s="65">
        <v>45</v>
      </c>
      <c r="B56" s="66" t="s">
        <v>146</v>
      </c>
      <c r="C56" s="67">
        <v>10952.055</v>
      </c>
      <c r="D56" s="67">
        <v>5512.65</v>
      </c>
      <c r="E56" s="67">
        <v>0</v>
      </c>
      <c r="F56" s="67">
        <v>0</v>
      </c>
      <c r="G56" s="67">
        <f>SUM(C56:F56)</f>
        <v>16464.705</v>
      </c>
      <c r="H56" s="67">
        <f>H55+G56</f>
        <v>638199.105</v>
      </c>
      <c r="I56" s="67">
        <f>IFERROR(G56/POWER(1+0.00643403011,A56),0)</f>
        <v>12337.150729</v>
      </c>
    </row>
    <row r="57" ht="20" customHeight="1" spans="1:9" x14ac:dyDescent="0.25">
      <c r="A57" s="68">
        <v>46</v>
      </c>
      <c r="B57" s="69" t="s">
        <v>147</v>
      </c>
      <c r="C57" s="63">
        <v>10952.055</v>
      </c>
      <c r="D57" s="63">
        <v>5512.65</v>
      </c>
      <c r="E57" s="63">
        <v>0</v>
      </c>
      <c r="F57" s="63">
        <v>0</v>
      </c>
      <c r="G57" s="63">
        <f>SUM(C57:F57)</f>
        <v>16464.705</v>
      </c>
      <c r="H57" s="63">
        <f>H56+G57</f>
        <v>654663.81</v>
      </c>
      <c r="I57" s="63">
        <f>IFERROR(G57/POWER(1+0.00643403011,A57),0)</f>
        <v>12258.280582</v>
      </c>
    </row>
    <row r="58" ht="20" customHeight="1" spans="1:9" x14ac:dyDescent="0.25">
      <c r="A58" s="65">
        <v>47</v>
      </c>
      <c r="B58" s="66" t="s">
        <v>148</v>
      </c>
      <c r="C58" s="67">
        <v>10952.055</v>
      </c>
      <c r="D58" s="67">
        <v>5512.65</v>
      </c>
      <c r="E58" s="67">
        <v>0</v>
      </c>
      <c r="F58" s="67">
        <v>0</v>
      </c>
      <c r="G58" s="67">
        <f>SUM(C58:F58)</f>
        <v>16464.705</v>
      </c>
      <c r="H58" s="67">
        <f>H57+G58</f>
        <v>671128.515</v>
      </c>
      <c r="I58" s="67">
        <f>IFERROR(G58/POWER(1+0.00643403011,A58),0)</f>
        <v>12179.914645</v>
      </c>
    </row>
    <row r="59" ht="20" customHeight="1" spans="1:9" x14ac:dyDescent="0.25">
      <c r="A59" s="68">
        <v>48</v>
      </c>
      <c r="B59" s="69" t="s">
        <v>149</v>
      </c>
      <c r="C59" s="63">
        <v>10952.055</v>
      </c>
      <c r="D59" s="63">
        <v>5512.65</v>
      </c>
      <c r="E59" s="63">
        <v>0</v>
      </c>
      <c r="F59" s="63">
        <v>0</v>
      </c>
      <c r="G59" s="63">
        <f>SUM(C59:F59)</f>
        <v>16464.705</v>
      </c>
      <c r="H59" s="63">
        <f>H58+G59</f>
        <v>687593.22</v>
      </c>
      <c r="I59" s="63">
        <f>IFERROR(G59/POWER(1+0.00643403011,A59),0)</f>
        <v>12102.049692</v>
      </c>
    </row>
    <row r="60" ht="20" customHeight="1" spans="1:9" x14ac:dyDescent="0.25">
      <c r="A60" s="65">
        <v>49</v>
      </c>
      <c r="B60" s="66" t="s">
        <v>150</v>
      </c>
      <c r="C60" s="67">
        <v>11279.73</v>
      </c>
      <c r="D60" s="67">
        <v>5512.65</v>
      </c>
      <c r="E60" s="67">
        <v>0</v>
      </c>
      <c r="F60" s="67">
        <v>0</v>
      </c>
      <c r="G60" s="67">
        <f>SUM(C60:F60)</f>
        <v>16792.38</v>
      </c>
      <c r="H60" s="67">
        <f>H59+G60</f>
        <v>704385.6</v>
      </c>
      <c r="I60" s="67">
        <f>IFERROR(G60/POWER(1+0.00643403011,A60),0)</f>
        <v>12263.993695</v>
      </c>
    </row>
    <row r="61" ht="20" customHeight="1" spans="1:9" x14ac:dyDescent="0.25">
      <c r="A61" s="68">
        <v>50</v>
      </c>
      <c r="B61" s="69" t="s">
        <v>151</v>
      </c>
      <c r="C61" s="63">
        <v>11279.73</v>
      </c>
      <c r="D61" s="63">
        <v>5512.65</v>
      </c>
      <c r="E61" s="63">
        <v>0</v>
      </c>
      <c r="F61" s="63">
        <v>0</v>
      </c>
      <c r="G61" s="63">
        <f>SUM(C61:F61)</f>
        <v>16792.38</v>
      </c>
      <c r="H61" s="63">
        <f>H60+G61</f>
        <v>721177.98</v>
      </c>
      <c r="I61" s="63">
        <f>IFERROR(G61/POWER(1+0.00643403011,A61),0)</f>
        <v>12185.591234</v>
      </c>
    </row>
    <row r="62" ht="20" customHeight="1" spans="1:9" x14ac:dyDescent="0.25">
      <c r="A62" s="65">
        <v>51</v>
      </c>
      <c r="B62" s="66" t="s">
        <v>152</v>
      </c>
      <c r="C62" s="67">
        <v>11279.73</v>
      </c>
      <c r="D62" s="67">
        <v>5512.65</v>
      </c>
      <c r="E62" s="67">
        <v>0</v>
      </c>
      <c r="F62" s="67">
        <v>0</v>
      </c>
      <c r="G62" s="67">
        <f>SUM(C62:F62)</f>
        <v>16792.38</v>
      </c>
      <c r="H62" s="67">
        <f>H61+G62</f>
        <v>737970.36</v>
      </c>
      <c r="I62" s="67">
        <f>IFERROR(G62/POWER(1+0.00643403011,A62),0)</f>
        <v>12107.689992</v>
      </c>
    </row>
    <row r="63" ht="20" customHeight="1" spans="1:9" x14ac:dyDescent="0.25">
      <c r="A63" s="68">
        <v>52</v>
      </c>
      <c r="B63" s="69" t="s">
        <v>153</v>
      </c>
      <c r="C63" s="63">
        <v>11279.73</v>
      </c>
      <c r="D63" s="63">
        <v>5512.65</v>
      </c>
      <c r="E63" s="63">
        <v>0</v>
      </c>
      <c r="F63" s="63">
        <v>0</v>
      </c>
      <c r="G63" s="63">
        <f>SUM(C63:F63)</f>
        <v>16792.38</v>
      </c>
      <c r="H63" s="63">
        <f>H62+G63</f>
        <v>754762.74</v>
      </c>
      <c r="I63" s="63">
        <f>IFERROR(G63/POWER(1+0.00643403011,A63),0)</f>
        <v>12030.286765</v>
      </c>
    </row>
    <row r="64" ht="20" customHeight="1" spans="1:9" x14ac:dyDescent="0.25">
      <c r="A64" s="65">
        <v>53</v>
      </c>
      <c r="B64" s="66" t="s">
        <v>154</v>
      </c>
      <c r="C64" s="67">
        <v>11279.73</v>
      </c>
      <c r="D64" s="67">
        <v>5512.65</v>
      </c>
      <c r="E64" s="67">
        <v>0</v>
      </c>
      <c r="F64" s="67">
        <v>0</v>
      </c>
      <c r="G64" s="67">
        <f>SUM(C64:F64)</f>
        <v>16792.38</v>
      </c>
      <c r="H64" s="67">
        <f>H63+G64</f>
        <v>771555.12</v>
      </c>
      <c r="I64" s="67">
        <f>IFERROR(G64/POWER(1+0.00643403011,A64),0)</f>
        <v>11953.378368</v>
      </c>
    </row>
    <row r="65" ht="20" customHeight="1" spans="1:9" x14ac:dyDescent="0.25">
      <c r="A65" s="68">
        <v>54</v>
      </c>
      <c r="B65" s="69" t="s">
        <v>155</v>
      </c>
      <c r="C65" s="63">
        <v>11279.73</v>
      </c>
      <c r="D65" s="63">
        <v>5512.65</v>
      </c>
      <c r="E65" s="63">
        <v>0</v>
      </c>
      <c r="F65" s="63">
        <v>0</v>
      </c>
      <c r="G65" s="63">
        <f>SUM(C65:F65)</f>
        <v>16792.38</v>
      </c>
      <c r="H65" s="63">
        <f>H64+G65</f>
        <v>788347.5</v>
      </c>
      <c r="I65" s="63">
        <f>IFERROR(G65/POWER(1+0.00643403011,A65),0)</f>
        <v>11876.96164</v>
      </c>
    </row>
    <row r="66" ht="20" customHeight="1" spans="1:9" x14ac:dyDescent="0.25">
      <c r="A66" s="65">
        <v>55</v>
      </c>
      <c r="B66" s="66" t="s">
        <v>156</v>
      </c>
      <c r="C66" s="67">
        <v>11279.73</v>
      </c>
      <c r="D66" s="67">
        <v>5512.65</v>
      </c>
      <c r="E66" s="67">
        <v>0</v>
      </c>
      <c r="F66" s="67">
        <v>0</v>
      </c>
      <c r="G66" s="67">
        <f>SUM(C66:F66)</f>
        <v>16792.38</v>
      </c>
      <c r="H66" s="67">
        <f>H65+G66</f>
        <v>805139.88</v>
      </c>
      <c r="I66" s="67">
        <f>IFERROR(G66/POWER(1+0.00643403011,A66),0)</f>
        <v>11801.033435</v>
      </c>
    </row>
    <row r="67" ht="20" customHeight="1" spans="1:9" x14ac:dyDescent="0.25">
      <c r="A67" s="68">
        <v>56</v>
      </c>
      <c r="B67" s="69" t="s">
        <v>157</v>
      </c>
      <c r="C67" s="63">
        <v>11279.73</v>
      </c>
      <c r="D67" s="63">
        <v>5512.65</v>
      </c>
      <c r="E67" s="63">
        <v>0</v>
      </c>
      <c r="F67" s="63">
        <v>0</v>
      </c>
      <c r="G67" s="63">
        <f>SUM(C67:F67)</f>
        <v>16792.38</v>
      </c>
      <c r="H67" s="63">
        <f>H66+G67</f>
        <v>821932.26</v>
      </c>
      <c r="I67" s="63">
        <f>IFERROR(G67/POWER(1+0.00643403011,A67),0)</f>
        <v>11725.590632</v>
      </c>
    </row>
    <row r="68" ht="20" customHeight="1" spans="1:9" x14ac:dyDescent="0.25">
      <c r="A68" s="65">
        <v>57</v>
      </c>
      <c r="B68" s="66" t="s">
        <v>158</v>
      </c>
      <c r="C68" s="67">
        <v>11279.73</v>
      </c>
      <c r="D68" s="67">
        <v>5512.65</v>
      </c>
      <c r="E68" s="67">
        <v>0</v>
      </c>
      <c r="F68" s="67">
        <v>0</v>
      </c>
      <c r="G68" s="67">
        <f>SUM(C68:F68)</f>
        <v>16792.38</v>
      </c>
      <c r="H68" s="67">
        <f>H67+G68</f>
        <v>838724.64</v>
      </c>
      <c r="I68" s="67">
        <f>IFERROR(G68/POWER(1+0.00643403011,A68),0)</f>
        <v>11650.630127</v>
      </c>
    </row>
    <row r="69" ht="20" customHeight="1" spans="1:9" x14ac:dyDescent="0.25">
      <c r="A69" s="68">
        <v>58</v>
      </c>
      <c r="B69" s="69" t="s">
        <v>159</v>
      </c>
      <c r="C69" s="63">
        <v>11279.73</v>
      </c>
      <c r="D69" s="63">
        <v>5512.65</v>
      </c>
      <c r="E69" s="63">
        <v>0</v>
      </c>
      <c r="F69" s="63">
        <v>0</v>
      </c>
      <c r="G69" s="63">
        <f>SUM(C69:F69)</f>
        <v>16792.38</v>
      </c>
      <c r="H69" s="63">
        <f>H68+G69</f>
        <v>855517.02</v>
      </c>
      <c r="I69" s="63">
        <f>IFERROR(G69/POWER(1+0.00643403011,A69),0)</f>
        <v>11576.148837</v>
      </c>
    </row>
    <row r="70" ht="20" customHeight="1" spans="1:9" x14ac:dyDescent="0.25">
      <c r="A70" s="65">
        <v>59</v>
      </c>
      <c r="B70" s="66" t="s">
        <v>160</v>
      </c>
      <c r="C70" s="67">
        <v>11279.73</v>
      </c>
      <c r="D70" s="67">
        <v>5512.65</v>
      </c>
      <c r="E70" s="67">
        <v>0</v>
      </c>
      <c r="F70" s="67">
        <v>0</v>
      </c>
      <c r="G70" s="67">
        <f>SUM(C70:F70)</f>
        <v>16792.38</v>
      </c>
      <c r="H70" s="67">
        <f>H69+G70</f>
        <v>872309.4</v>
      </c>
      <c r="I70" s="67">
        <f>IFERROR(G70/POWER(1+0.00643403011,A70),0)</f>
        <v>11502.143698</v>
      </c>
    </row>
    <row r="71" ht="20" customHeight="1" spans="1:9" x14ac:dyDescent="0.25">
      <c r="A71" s="68">
        <v>60</v>
      </c>
      <c r="B71" s="69" t="s">
        <v>161</v>
      </c>
      <c r="C71" s="63">
        <v>11279.73</v>
      </c>
      <c r="D71" s="63">
        <v>5512.65</v>
      </c>
      <c r="E71" s="63">
        <v>0</v>
      </c>
      <c r="F71" s="63">
        <v>0</v>
      </c>
      <c r="G71" s="63">
        <f>SUM(C71:F71)</f>
        <v>16792.38</v>
      </c>
      <c r="H71" s="63">
        <f>H70+G71</f>
        <v>889101.78</v>
      </c>
      <c r="I71" s="63">
        <f>IFERROR(G71/POWER(1+0.00643403011,A71),0)</f>
        <v>11428.611666</v>
      </c>
    </row>
    <row r="72" ht="20" customHeight="1" spans="1:9" x14ac:dyDescent="0.25">
      <c r="A72" s="65">
        <v>61</v>
      </c>
      <c r="B72" s="66" t="s">
        <v>162</v>
      </c>
      <c r="C72" s="67">
        <v>11618.97</v>
      </c>
      <c r="D72" s="67">
        <v>5512.65</v>
      </c>
      <c r="E72" s="67">
        <v>0</v>
      </c>
      <c r="F72" s="67">
        <v>0</v>
      </c>
      <c r="G72" s="67">
        <f>SUM(C72:F72)</f>
        <v>17131.62</v>
      </c>
      <c r="H72" s="67">
        <f>H71+G72</f>
        <v>906233.4</v>
      </c>
      <c r="I72" s="67">
        <f>IFERROR(G72/POWER(1+0.00643403011,A72),0)</f>
        <v>11584.954762</v>
      </c>
    </row>
    <row r="73" ht="20" customHeight="1" spans="1:9" x14ac:dyDescent="0.25">
      <c r="A73" s="68">
        <v>62</v>
      </c>
      <c r="B73" s="69" t="s">
        <v>163</v>
      </c>
      <c r="C73" s="63">
        <v>11618.97</v>
      </c>
      <c r="D73" s="63">
        <v>5512.65</v>
      </c>
      <c r="E73" s="63">
        <v>0</v>
      </c>
      <c r="F73" s="63">
        <v>0</v>
      </c>
      <c r="G73" s="63">
        <f>SUM(C73:F73)</f>
        <v>17131.62</v>
      </c>
      <c r="H73" s="63">
        <f>H72+G73</f>
        <v>923365.02</v>
      </c>
      <c r="I73" s="63">
        <f>IFERROR(G73/POWER(1+0.00643403011,A73),0)</f>
        <v>11510.893328</v>
      </c>
    </row>
    <row r="74" ht="20" customHeight="1" spans="1:9" x14ac:dyDescent="0.25">
      <c r="A74" s="65">
        <v>63</v>
      </c>
      <c r="B74" s="66" t="s">
        <v>164</v>
      </c>
      <c r="C74" s="67">
        <v>11618.97</v>
      </c>
      <c r="D74" s="67">
        <v>5512.65</v>
      </c>
      <c r="E74" s="67">
        <v>0</v>
      </c>
      <c r="F74" s="67">
        <v>0</v>
      </c>
      <c r="G74" s="67">
        <f>SUM(C74:F74)</f>
        <v>17131.62</v>
      </c>
      <c r="H74" s="67">
        <f>H73+G74</f>
        <v>940496.64</v>
      </c>
      <c r="I74" s="67">
        <f>IFERROR(G74/POWER(1+0.00643403011,A74),0)</f>
        <v>11437.305361</v>
      </c>
    </row>
    <row r="75" ht="20" customHeight="1" spans="1:9" x14ac:dyDescent="0.25">
      <c r="A75" s="68">
        <v>64</v>
      </c>
      <c r="B75" s="69" t="s">
        <v>165</v>
      </c>
      <c r="C75" s="63">
        <v>11618.97</v>
      </c>
      <c r="D75" s="63">
        <v>5512.65</v>
      </c>
      <c r="E75" s="63">
        <v>0</v>
      </c>
      <c r="F75" s="63">
        <v>0</v>
      </c>
      <c r="G75" s="63">
        <f>SUM(C75:F75)</f>
        <v>17131.62</v>
      </c>
      <c r="H75" s="63">
        <f>H74+G75</f>
        <v>957628.26</v>
      </c>
      <c r="I75" s="63">
        <f>IFERROR(G75/POWER(1+0.00643403011,A75),0)</f>
        <v>11364.187834</v>
      </c>
    </row>
    <row r="76" ht="20" customHeight="1" spans="1:9" x14ac:dyDescent="0.25">
      <c r="A76" s="65">
        <v>65</v>
      </c>
      <c r="B76" s="66" t="s">
        <v>166</v>
      </c>
      <c r="C76" s="67">
        <v>11618.97</v>
      </c>
      <c r="D76" s="67">
        <v>5512.65</v>
      </c>
      <c r="E76" s="67">
        <v>0</v>
      </c>
      <c r="F76" s="67">
        <v>0</v>
      </c>
      <c r="G76" s="67">
        <f>SUM(C76:F76)</f>
        <v>17131.62</v>
      </c>
      <c r="H76" s="67">
        <f>H75+G76</f>
        <v>974759.88</v>
      </c>
      <c r="I76" s="67">
        <f>IFERROR(G76/POWER(1+0.00643403011,A76),0)</f>
        <v>11291.53774</v>
      </c>
    </row>
    <row r="77" ht="20" customHeight="1" spans="1:9" x14ac:dyDescent="0.25">
      <c r="A77" s="68">
        <v>66</v>
      </c>
      <c r="B77" s="69" t="s">
        <v>167</v>
      </c>
      <c r="C77" s="63">
        <v>11618.97</v>
      </c>
      <c r="D77" s="63">
        <v>5512.65</v>
      </c>
      <c r="E77" s="63">
        <v>0</v>
      </c>
      <c r="F77" s="63">
        <v>0</v>
      </c>
      <c r="G77" s="63">
        <f>SUM(C77:F77)</f>
        <v>17131.62</v>
      </c>
      <c r="H77" s="63">
        <f>H76+G77</f>
        <v>991891.5</v>
      </c>
      <c r="I77" s="63">
        <f>IFERROR(G77/POWER(1+0.00643403011,A77),0)</f>
        <v>11219.352091</v>
      </c>
    </row>
    <row r="78" ht="20" customHeight="1" spans="1:9" x14ac:dyDescent="0.25">
      <c r="A78" s="65">
        <v>67</v>
      </c>
      <c r="B78" s="66" t="s">
        <v>168</v>
      </c>
      <c r="C78" s="67">
        <v>11618.97</v>
      </c>
      <c r="D78" s="67">
        <v>5512.65</v>
      </c>
      <c r="E78" s="67">
        <v>0</v>
      </c>
      <c r="F78" s="67">
        <v>0</v>
      </c>
      <c r="G78" s="67">
        <f>SUM(C78:F78)</f>
        <v>17131.62</v>
      </c>
      <c r="H78" s="67">
        <f>H77+G78</f>
        <v>1009023.12</v>
      </c>
      <c r="I78" s="67">
        <f>IFERROR(G78/POWER(1+0.00643403011,A78),0)</f>
        <v>11147.627918</v>
      </c>
    </row>
    <row r="79" ht="20" customHeight="1" spans="1:9" x14ac:dyDescent="0.25">
      <c r="A79" s="68">
        <v>68</v>
      </c>
      <c r="B79" s="69" t="s">
        <v>169</v>
      </c>
      <c r="C79" s="63">
        <v>11618.97</v>
      </c>
      <c r="D79" s="63">
        <v>5512.65</v>
      </c>
      <c r="E79" s="63">
        <v>0</v>
      </c>
      <c r="F79" s="63">
        <v>0</v>
      </c>
      <c r="G79" s="63">
        <f>SUM(C79:F79)</f>
        <v>17131.62</v>
      </c>
      <c r="H79" s="63">
        <f>H78+G79</f>
        <v>1026154.74</v>
      </c>
      <c r="I79" s="63">
        <f>IFERROR(G79/POWER(1+0.00643403011,A79),0)</f>
        <v>11076.362269</v>
      </c>
    </row>
    <row r="80" ht="20" customHeight="1" spans="1:9" x14ac:dyDescent="0.25">
      <c r="A80" s="65">
        <v>69</v>
      </c>
      <c r="B80" s="66" t="s">
        <v>170</v>
      </c>
      <c r="C80" s="67">
        <v>11618.97</v>
      </c>
      <c r="D80" s="67">
        <v>5512.65</v>
      </c>
      <c r="E80" s="67">
        <v>0</v>
      </c>
      <c r="F80" s="67">
        <v>0</v>
      </c>
      <c r="G80" s="67">
        <f>SUM(C80:F80)</f>
        <v>17131.62</v>
      </c>
      <c r="H80" s="67">
        <f>H79+G80</f>
        <v>1043286.36</v>
      </c>
      <c r="I80" s="67">
        <f>IFERROR(G80/POWER(1+0.00643403011,A80),0)</f>
        <v>11005.552215</v>
      </c>
    </row>
    <row r="81" ht="20" customHeight="1" spans="1:9" x14ac:dyDescent="0.25">
      <c r="A81" s="68">
        <v>70</v>
      </c>
      <c r="B81" s="69" t="s">
        <v>171</v>
      </c>
      <c r="C81" s="63">
        <v>11618.97</v>
      </c>
      <c r="D81" s="63">
        <v>5512.65</v>
      </c>
      <c r="E81" s="63">
        <v>0</v>
      </c>
      <c r="F81" s="63">
        <v>0</v>
      </c>
      <c r="G81" s="63">
        <f>SUM(C81:F81)</f>
        <v>17131.62</v>
      </c>
      <c r="H81" s="63">
        <f>H80+G81</f>
        <v>1060417.98</v>
      </c>
      <c r="I81" s="63">
        <f>IFERROR(G81/POWER(1+0.00643403011,A81),0)</f>
        <v>10935.194842</v>
      </c>
    </row>
    <row r="82" ht="20" customHeight="1" spans="1:9" x14ac:dyDescent="0.25">
      <c r="A82" s="65">
        <v>71</v>
      </c>
      <c r="B82" s="66" t="s">
        <v>172</v>
      </c>
      <c r="C82" s="67">
        <v>11618.97</v>
      </c>
      <c r="D82" s="67">
        <v>5512.65</v>
      </c>
      <c r="E82" s="67">
        <v>0</v>
      </c>
      <c r="F82" s="67">
        <v>0</v>
      </c>
      <c r="G82" s="67">
        <f>SUM(C82:F82)</f>
        <v>17131.62</v>
      </c>
      <c r="H82" s="67">
        <f>H81+G82</f>
        <v>1077549.6</v>
      </c>
      <c r="I82" s="67">
        <f>IFERROR(G82/POWER(1+0.00643403011,A82),0)</f>
        <v>10865.287257</v>
      </c>
    </row>
    <row r="83" ht="20" customHeight="1" spans="1:9" x14ac:dyDescent="0.25">
      <c r="A83" s="68">
        <v>72</v>
      </c>
      <c r="B83" s="69" t="s">
        <v>173</v>
      </c>
      <c r="C83" s="63">
        <v>11618.97</v>
      </c>
      <c r="D83" s="63">
        <v>5512.65</v>
      </c>
      <c r="E83" s="63">
        <v>0</v>
      </c>
      <c r="F83" s="63">
        <v>0</v>
      </c>
      <c r="G83" s="63">
        <f>SUM(C83:F83)</f>
        <v>17131.62</v>
      </c>
      <c r="H83" s="63">
        <f>H82+G83</f>
        <v>1094681.22</v>
      </c>
      <c r="I83" s="63">
        <f>IFERROR(G83/POWER(1+0.00643403011,A83),0)</f>
        <v>10795.826583</v>
      </c>
    </row>
    <row r="84" ht="20" customHeight="1" spans="1:9" x14ac:dyDescent="0.25">
      <c r="A84" s="65">
        <v>73</v>
      </c>
      <c r="B84" s="66" t="s">
        <v>174</v>
      </c>
      <c r="C84" s="67">
        <v>11969.775</v>
      </c>
      <c r="D84" s="67">
        <v>5512.65</v>
      </c>
      <c r="E84" s="67">
        <v>0</v>
      </c>
      <c r="F84" s="67">
        <v>0</v>
      </c>
      <c r="G84" s="67">
        <f>SUM(C84:F84)</f>
        <v>17482.425</v>
      </c>
      <c r="H84" s="67">
        <f>H83+G84</f>
        <v>1112163.645</v>
      </c>
      <c r="I84" s="67">
        <f>IFERROR(G84/POWER(1+0.00643403011,A84),0)</f>
        <v>10946.463364</v>
      </c>
    </row>
    <row r="85" ht="20" customHeight="1" spans="1:9" x14ac:dyDescent="0.25">
      <c r="A85" s="68">
        <v>74</v>
      </c>
      <c r="B85" s="69" t="s">
        <v>175</v>
      </c>
      <c r="C85" s="63">
        <v>11969.775</v>
      </c>
      <c r="D85" s="63">
        <v>5512.65</v>
      </c>
      <c r="E85" s="63">
        <v>0</v>
      </c>
      <c r="F85" s="63">
        <v>0</v>
      </c>
      <c r="G85" s="63">
        <f>SUM(C85:F85)</f>
        <v>17482.425</v>
      </c>
      <c r="H85" s="63">
        <f>H84+G85</f>
        <v>1129646.07</v>
      </c>
      <c r="I85" s="63">
        <f>IFERROR(G85/POWER(1+0.00643403011,A85),0)</f>
        <v>10876.483741</v>
      </c>
    </row>
    <row r="86" ht="20" customHeight="1" spans="1:9" x14ac:dyDescent="0.25">
      <c r="A86" s="65">
        <v>75</v>
      </c>
      <c r="B86" s="66" t="s">
        <v>176</v>
      </c>
      <c r="C86" s="67">
        <v>11969.775</v>
      </c>
      <c r="D86" s="67">
        <v>5512.65</v>
      </c>
      <c r="E86" s="67">
        <v>0</v>
      </c>
      <c r="F86" s="67">
        <v>0</v>
      </c>
      <c r="G86" s="67">
        <f>SUM(C86:F86)</f>
        <v>17482.425</v>
      </c>
      <c r="H86" s="67">
        <f>H85+G86</f>
        <v>1147128.495</v>
      </c>
      <c r="I86" s="67">
        <f>IFERROR(G86/POWER(1+0.00643403011,A86),0)</f>
        <v>10806.951489</v>
      </c>
    </row>
    <row r="87" ht="20" customHeight="1" spans="1:9" x14ac:dyDescent="0.25">
      <c r="A87" s="68">
        <v>76</v>
      </c>
      <c r="B87" s="69" t="s">
        <v>177</v>
      </c>
      <c r="C87" s="63">
        <v>11969.775</v>
      </c>
      <c r="D87" s="63">
        <v>5512.65</v>
      </c>
      <c r="E87" s="63">
        <v>0</v>
      </c>
      <c r="F87" s="63">
        <v>0</v>
      </c>
      <c r="G87" s="63">
        <f>SUM(C87:F87)</f>
        <v>17482.425</v>
      </c>
      <c r="H87" s="63">
        <f>H86+G87</f>
        <v>1164610.92</v>
      </c>
      <c r="I87" s="63">
        <f>IFERROR(G87/POWER(1+0.00643403011,A87),0)</f>
        <v>10737.863751</v>
      </c>
    </row>
    <row r="88" ht="20" customHeight="1" spans="1:9" x14ac:dyDescent="0.25">
      <c r="A88" s="65">
        <v>77</v>
      </c>
      <c r="B88" s="66" t="s">
        <v>178</v>
      </c>
      <c r="C88" s="67">
        <v>11969.775</v>
      </c>
      <c r="D88" s="67">
        <v>5512.65</v>
      </c>
      <c r="E88" s="67">
        <v>0</v>
      </c>
      <c r="F88" s="67">
        <v>0</v>
      </c>
      <c r="G88" s="67">
        <f>SUM(C88:F88)</f>
        <v>17482.425</v>
      </c>
      <c r="H88" s="67">
        <f>H87+G88</f>
        <v>1182093.345</v>
      </c>
      <c r="I88" s="67">
        <f>IFERROR(G88/POWER(1+0.00643403011,A88),0)</f>
        <v>10669.217683</v>
      </c>
    </row>
    <row r="89" ht="20" customHeight="1" spans="1:9" x14ac:dyDescent="0.25">
      <c r="A89" s="68">
        <v>78</v>
      </c>
      <c r="B89" s="69" t="s">
        <v>179</v>
      </c>
      <c r="C89" s="63">
        <v>11969.775</v>
      </c>
      <c r="D89" s="63">
        <v>5512.65</v>
      </c>
      <c r="E89" s="63">
        <v>0</v>
      </c>
      <c r="F89" s="63">
        <v>0</v>
      </c>
      <c r="G89" s="63">
        <f>SUM(C89:F89)</f>
        <v>17482.425</v>
      </c>
      <c r="H89" s="63">
        <f>H88+G89</f>
        <v>1199575.77</v>
      </c>
      <c r="I89" s="63">
        <f>IFERROR(G89/POWER(1+0.00643403011,A89),0)</f>
        <v>10601.010462</v>
      </c>
    </row>
    <row r="90" ht="20" customHeight="1" spans="1:9" x14ac:dyDescent="0.25">
      <c r="A90" s="65">
        <v>79</v>
      </c>
      <c r="B90" s="66" t="s">
        <v>180</v>
      </c>
      <c r="C90" s="67">
        <v>11969.775</v>
      </c>
      <c r="D90" s="67">
        <v>5512.65</v>
      </c>
      <c r="E90" s="67">
        <v>0</v>
      </c>
      <c r="F90" s="67">
        <v>0</v>
      </c>
      <c r="G90" s="67">
        <f>SUM(C90:F90)</f>
        <v>17482.425</v>
      </c>
      <c r="H90" s="67">
        <f>H89+G90</f>
        <v>1217058.195</v>
      </c>
      <c r="I90" s="67">
        <f>IFERROR(G90/POWER(1+0.00643403011,A90),0)</f>
        <v>10533.239283</v>
      </c>
    </row>
    <row r="91" ht="20" customHeight="1" spans="1:9" x14ac:dyDescent="0.25">
      <c r="A91" s="68">
        <v>80</v>
      </c>
      <c r="B91" s="69" t="s">
        <v>181</v>
      </c>
      <c r="C91" s="63">
        <v>11969.775</v>
      </c>
      <c r="D91" s="63">
        <v>5512.65</v>
      </c>
      <c r="E91" s="63">
        <v>0</v>
      </c>
      <c r="F91" s="63">
        <v>0</v>
      </c>
      <c r="G91" s="63">
        <f>SUM(C91:F91)</f>
        <v>17482.425</v>
      </c>
      <c r="H91" s="63">
        <f>H90+G91</f>
        <v>1234540.62</v>
      </c>
      <c r="I91" s="63">
        <f>IFERROR(G91/POWER(1+0.00643403011,A91),0)</f>
        <v>10465.901359</v>
      </c>
    </row>
    <row r="92" ht="20" customHeight="1" spans="1:9" x14ac:dyDescent="0.25">
      <c r="A92" s="65">
        <v>81</v>
      </c>
      <c r="B92" s="66" t="s">
        <v>182</v>
      </c>
      <c r="C92" s="67">
        <v>11969.775</v>
      </c>
      <c r="D92" s="67">
        <v>5512.65</v>
      </c>
      <c r="E92" s="67">
        <v>0</v>
      </c>
      <c r="F92" s="67">
        <v>0</v>
      </c>
      <c r="G92" s="67">
        <f>SUM(C92:F92)</f>
        <v>17482.425</v>
      </c>
      <c r="H92" s="67">
        <f>H91+G92</f>
        <v>1252023.045</v>
      </c>
      <c r="I92" s="67">
        <f>IFERROR(G92/POWER(1+0.00643403011,A92),0)</f>
        <v>10398.993919</v>
      </c>
    </row>
    <row r="93" ht="20" customHeight="1" spans="1:9" x14ac:dyDescent="0.25">
      <c r="A93" s="68">
        <v>82</v>
      </c>
      <c r="B93" s="69" t="s">
        <v>183</v>
      </c>
      <c r="C93" s="63">
        <v>11969.775</v>
      </c>
      <c r="D93" s="63">
        <v>5512.65</v>
      </c>
      <c r="E93" s="63">
        <v>0</v>
      </c>
      <c r="F93" s="63">
        <v>0</v>
      </c>
      <c r="G93" s="63">
        <f>SUM(C93:F93)</f>
        <v>17482.425</v>
      </c>
      <c r="H93" s="63">
        <f>H92+G93</f>
        <v>1269505.47</v>
      </c>
      <c r="I93" s="63">
        <f>IFERROR(G93/POWER(1+0.00643403011,A93),0)</f>
        <v>10332.514211</v>
      </c>
    </row>
    <row r="94" ht="20" customHeight="1" spans="1:9" x14ac:dyDescent="0.25">
      <c r="A94" s="65">
        <v>83</v>
      </c>
      <c r="B94" s="66" t="s">
        <v>184</v>
      </c>
      <c r="C94" s="67">
        <v>11969.775</v>
      </c>
      <c r="D94" s="67">
        <v>5512.65</v>
      </c>
      <c r="E94" s="67">
        <v>0</v>
      </c>
      <c r="F94" s="67">
        <v>0</v>
      </c>
      <c r="G94" s="67">
        <f>SUM(C94:F94)</f>
        <v>17482.425</v>
      </c>
      <c r="H94" s="67">
        <f>H93+G94</f>
        <v>1286987.895</v>
      </c>
      <c r="I94" s="67">
        <f>IFERROR(G94/POWER(1+0.00643403011,A94),0)</f>
        <v>10266.459502</v>
      </c>
    </row>
    <row r="95" ht="20" customHeight="1" spans="1:9" x14ac:dyDescent="0.25">
      <c r="A95" s="68">
        <v>84</v>
      </c>
      <c r="B95" s="69" t="s">
        <v>185</v>
      </c>
      <c r="C95" s="63">
        <v>11969.775</v>
      </c>
      <c r="D95" s="63">
        <v>5512.65</v>
      </c>
      <c r="E95" s="63">
        <v>0</v>
      </c>
      <c r="F95" s="63">
        <v>0</v>
      </c>
      <c r="G95" s="63">
        <f>SUM(C95:F95)</f>
        <v>17482.425</v>
      </c>
      <c r="H95" s="63">
        <f>H94+G95</f>
        <v>1304470.32</v>
      </c>
      <c r="I95" s="63">
        <f>IFERROR(G95/POWER(1+0.00643403011,A95),0)</f>
        <v>10200.827073</v>
      </c>
    </row>
    <row r="96" ht="20" customHeight="1" spans="1:9" x14ac:dyDescent="0.25">
      <c r="A96" s="65">
        <v>85</v>
      </c>
      <c r="B96" s="66" t="s">
        <v>186</v>
      </c>
      <c r="C96" s="67">
        <v>12328.29</v>
      </c>
      <c r="D96" s="67">
        <v>5512.65</v>
      </c>
      <c r="E96" s="67">
        <v>0</v>
      </c>
      <c r="F96" s="67">
        <v>0</v>
      </c>
      <c r="G96" s="67">
        <f>SUM(C96:F96)</f>
        <v>17840.94</v>
      </c>
      <c r="H96" s="67">
        <f>H95+G96</f>
        <v>1322311.26</v>
      </c>
      <c r="I96" s="67">
        <f>IFERROR(G96/POWER(1+0.00643403011,A96),0)</f>
        <v>10343.466955</v>
      </c>
    </row>
    <row r="97" ht="20" customHeight="1" spans="1:9" x14ac:dyDescent="0.25">
      <c r="A97" s="68">
        <v>86</v>
      </c>
      <c r="B97" s="69" t="s">
        <v>187</v>
      </c>
      <c r="C97" s="63">
        <v>12328.29</v>
      </c>
      <c r="D97" s="63">
        <v>5512.65</v>
      </c>
      <c r="E97" s="63">
        <v>0</v>
      </c>
      <c r="F97" s="63">
        <v>0</v>
      </c>
      <c r="G97" s="63">
        <f>SUM(C97:F97)</f>
        <v>17840.94</v>
      </c>
      <c r="H97" s="63">
        <f>H96+G97</f>
        <v>1340152.2</v>
      </c>
      <c r="I97" s="63">
        <f>IFERROR(G97/POWER(1+0.00643403011,A97),0)</f>
        <v>10277.342225</v>
      </c>
    </row>
    <row r="98" ht="20" customHeight="1" spans="1:9" x14ac:dyDescent="0.25">
      <c r="A98" s="65">
        <v>87</v>
      </c>
      <c r="B98" s="66" t="s">
        <v>188</v>
      </c>
      <c r="C98" s="67">
        <v>12328.29</v>
      </c>
      <c r="D98" s="67">
        <v>5512.65</v>
      </c>
      <c r="E98" s="67">
        <v>0</v>
      </c>
      <c r="F98" s="67">
        <v>0</v>
      </c>
      <c r="G98" s="67">
        <f>SUM(C98:F98)</f>
        <v>17840.94</v>
      </c>
      <c r="H98" s="67">
        <f>H97+G98</f>
        <v>1357993.14</v>
      </c>
      <c r="I98" s="67">
        <f>IFERROR(G98/POWER(1+0.00643403011,A98),0)</f>
        <v>10211.640225</v>
      </c>
    </row>
    <row r="99" ht="20" customHeight="1" spans="1:9" x14ac:dyDescent="0.25">
      <c r="A99" s="68">
        <v>88</v>
      </c>
      <c r="B99" s="69" t="s">
        <v>189</v>
      </c>
      <c r="C99" s="63">
        <v>12328.29</v>
      </c>
      <c r="D99" s="63">
        <v>5512.65</v>
      </c>
      <c r="E99" s="63">
        <v>0</v>
      </c>
      <c r="F99" s="63">
        <v>0</v>
      </c>
      <c r="G99" s="63">
        <f>SUM(C99:F99)</f>
        <v>17840.94</v>
      </c>
      <c r="H99" s="63">
        <f>H98+G99</f>
        <v>1375834.08</v>
      </c>
      <c r="I99" s="63">
        <f>IFERROR(G99/POWER(1+0.00643403011,A99),0)</f>
        <v>10146.35825</v>
      </c>
    </row>
    <row r="100" ht="20" customHeight="1" spans="1:9" x14ac:dyDescent="0.25">
      <c r="A100" s="70" t="s">
        <v>1</v>
      </c>
      <c r="B100" s="55" t="s">
        <v>217</v>
      </c>
      <c r="C100" s="56">
        <f>SUM(C9:C99)</f>
      </c>
      <c r="D100" s="56">
        <f>SUM(D9:D99)</f>
      </c>
      <c r="E100" s="56">
        <f>SUM(E9:E99)</f>
      </c>
      <c r="F100" s="56">
        <f>SUM(F9:F99)</f>
      </c>
      <c r="G100" s="56">
        <f>SUM(G9:G99)</f>
      </c>
      <c r="H100" s="56">
        <f>SUM(H9:H99)</f>
      </c>
      <c r="I100" s="56">
        <f>SUM(I9:I99)</f>
      </c>
    </row>
  </sheetData>
  <mergeCells count="3">
    <mergeCell ref="A1:I2"/>
    <mergeCell ref="D3:F4"/>
    <mergeCell ref="A6:I6"/>
  </mergeCells>
  <pageMargins left="0.25" right="0.25" top="0.45" bottom="0.45" header="0.2" footer="0.2"/>
  <pageSetup paperSize="1"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Summary Comparison</vt:lpstr>
      <vt:lpstr>Notes</vt:lpstr>
      <vt:lpstr>Equalized Metrics</vt:lpstr>
      <vt:lpstr>Monthly Gross Cash Flow Matrix</vt:lpstr>
      <vt:lpstr>Appendix — The Summit at Lantan</vt:lpstr>
      <vt:lpstr>Appendix — Benbrook Suite 200 -</vt:lpstr>
      <vt:lpstr>Appendix — Benbrook Suite 2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CRE Model</dc:creator>
  <dc:title/>
  <dc:subject/>
  <dc:description/>
  <cp:keywords/>
  <cp:category/>
  <cp:lastModifiedBy>Unknown</cp:lastModifiedBy>
  <dcterms:created xsi:type="dcterms:W3CDTF">2026-02-25T15:06:59Z</dcterms:created>
  <dcterms:modified xsi:type="dcterms:W3CDTF">2026-02-25T15:06:59Z</dcterms:modified>
</cp:coreProperties>
</file>